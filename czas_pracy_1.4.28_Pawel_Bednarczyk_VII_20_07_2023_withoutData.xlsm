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pbednarczyk\Pawel_Bednarczyk_materialy\Visual_basic_czas_pracy_robocze\"/>
    </mc:Choice>
  </mc:AlternateContent>
  <bookViews>
    <workbookView xWindow="0" yWindow="0" windowWidth="10500" windowHeight="4190" tabRatio="326"/>
  </bookViews>
  <sheets>
    <sheet name="June_2023" sheetId="1" r:id="rId1"/>
  </sheets>
  <functionGroups builtInGroupCount="18"/>
  <definedNames>
    <definedName name="_xlnm.Print_Area" localSheetId="0">June_2023!$A$1:$AN$21</definedName>
    <definedName name="Z_3646626E_4B88_4272_A620_205A05EFC2A4_.wvu.PrintArea" localSheetId="0" hidden="1">June_2023!$A$1:$AM$21</definedName>
  </definedNames>
  <calcPr calcId="152511"/>
  <customWorkbookViews>
    <customWorkbookView name="Bednarczyk Paweł - Widok osobisty" guid="{3646626E-4B88-4272-A620-205A05EFC2A4}" mergeInterval="0" personalView="1" maximized="1" xWindow="-11" yWindow="-11" windowWidth="1702" windowHeight="1012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AK12" i="1" l="1"/>
  <c r="P12" i="1"/>
  <c r="W12" i="1"/>
  <c r="AD12" i="1"/>
  <c r="P13" i="1" l="1"/>
  <c r="E6" i="1" l="1"/>
  <c r="F6" i="1" s="1"/>
  <c r="G6" i="1" s="1"/>
  <c r="H6" i="1" s="1"/>
  <c r="I11" i="1" l="1"/>
  <c r="I9" i="1" l="1"/>
  <c r="I10" i="1"/>
  <c r="I12" i="1"/>
  <c r="I13" i="1"/>
  <c r="I14" i="1"/>
  <c r="J12" i="1" l="1"/>
  <c r="Q12" i="1" s="1"/>
  <c r="X12" i="1" s="1"/>
  <c r="AE12" i="1" s="1"/>
  <c r="AL12" i="1" s="1"/>
  <c r="Y7" i="1" l="1"/>
  <c r="L7" i="1"/>
  <c r="E7" i="1"/>
  <c r="B17" i="1" l="1"/>
  <c r="AG7" i="1" l="1"/>
  <c r="AH7" i="1"/>
  <c r="AI7" i="1"/>
  <c r="AJ7" i="1"/>
  <c r="AF7" i="1"/>
  <c r="Z7" i="1"/>
  <c r="AA7" i="1"/>
  <c r="AB7" i="1"/>
  <c r="AC7" i="1"/>
  <c r="S7" i="1"/>
  <c r="T7" i="1"/>
  <c r="U7" i="1"/>
  <c r="V7" i="1"/>
  <c r="R7" i="1"/>
  <c r="M7" i="1"/>
  <c r="N7" i="1"/>
  <c r="O7" i="1"/>
  <c r="K7" i="1"/>
  <c r="F7" i="1"/>
  <c r="G7" i="1"/>
  <c r="H7" i="1"/>
  <c r="D7" i="1"/>
  <c r="AD13" i="1" l="1"/>
  <c r="D5" i="1" l="1"/>
  <c r="B19" i="1" l="1"/>
  <c r="B13" i="1" l="1"/>
  <c r="B11" i="1" l="1"/>
  <c r="AD8" i="1" l="1"/>
  <c r="AD9" i="1"/>
  <c r="AD10" i="1"/>
  <c r="AD11" i="1"/>
  <c r="Y3" i="1"/>
  <c r="Q6" i="1" l="1"/>
  <c r="X6" i="1" s="1"/>
  <c r="AE6" i="1" s="1"/>
  <c r="AL6" i="1" s="1"/>
  <c r="W11" i="1" l="1"/>
  <c r="B14" i="1" l="1"/>
  <c r="B16" i="1"/>
  <c r="L3" i="1"/>
  <c r="AL3" i="1"/>
  <c r="I8" i="1"/>
  <c r="J8" i="1" s="1"/>
  <c r="AK14" i="1"/>
  <c r="AK13" i="1"/>
  <c r="AK11" i="1"/>
  <c r="AK10" i="1"/>
  <c r="AK9" i="1"/>
  <c r="AK8" i="1"/>
  <c r="AD14" i="1"/>
  <c r="AD16" i="1" s="1"/>
  <c r="W14" i="1"/>
  <c r="W13" i="1"/>
  <c r="W10" i="1"/>
  <c r="W9" i="1"/>
  <c r="W8" i="1"/>
  <c r="P14" i="1"/>
  <c r="P11" i="1"/>
  <c r="P10" i="1"/>
  <c r="P9" i="1"/>
  <c r="P8" i="1"/>
  <c r="AG3" i="1"/>
  <c r="Q3" i="1"/>
  <c r="P16" i="1" l="1"/>
  <c r="AK16" i="1"/>
  <c r="W16" i="1"/>
  <c r="J14" i="1" l="1"/>
  <c r="Q14" i="1" s="1"/>
  <c r="J13" i="1"/>
  <c r="Q13" i="1" s="1"/>
  <c r="J11" i="1"/>
  <c r="Q11" i="1" s="1"/>
  <c r="J10" i="1"/>
  <c r="Q10" i="1" s="1"/>
  <c r="I16" i="1" l="1"/>
  <c r="Q8" i="1"/>
  <c r="J9" i="1"/>
  <c r="Q9" i="1" s="1"/>
  <c r="X13" i="1"/>
  <c r="AE13" i="1" s="1"/>
  <c r="AL13" i="1" s="1"/>
  <c r="X14" i="1"/>
  <c r="AE14" i="1" s="1"/>
  <c r="AL14" i="1" s="1"/>
  <c r="X10" i="1"/>
  <c r="AE10" i="1" s="1"/>
  <c r="AL10" i="1" s="1"/>
  <c r="X11" i="1"/>
  <c r="AE11" i="1" l="1"/>
  <c r="AL11" i="1" s="1"/>
  <c r="K6" i="1"/>
  <c r="X8" i="1"/>
  <c r="AE8" i="1" s="1"/>
  <c r="AL8" i="1" s="1"/>
  <c r="X9" i="1"/>
  <c r="AE9" i="1" s="1"/>
  <c r="AL9" i="1" s="1"/>
  <c r="J17" i="1"/>
  <c r="Q17" i="1"/>
  <c r="B5" i="1"/>
  <c r="B4" i="1"/>
  <c r="D3" i="1"/>
  <c r="B3" i="1"/>
  <c r="K5" i="1" l="1"/>
  <c r="L6" i="1"/>
  <c r="M6" i="1" s="1"/>
  <c r="N6" i="1" s="1"/>
  <c r="AL17" i="1"/>
  <c r="AE17" i="1"/>
  <c r="X17" i="1"/>
  <c r="O6" i="1" l="1"/>
  <c r="R6" i="1" s="1"/>
  <c r="S6" i="1" l="1"/>
  <c r="T6" i="1" s="1"/>
  <c r="U6" i="1" s="1"/>
  <c r="V6" i="1" s="1"/>
  <c r="Y6" i="1" s="1"/>
  <c r="Z6" i="1" s="1"/>
  <c r="AA6" i="1" s="1"/>
  <c r="R5" i="1"/>
  <c r="Y5" i="1"/>
  <c r="AB6" i="1" l="1"/>
  <c r="AC6" i="1" s="1"/>
  <c r="AF6" i="1" s="1"/>
  <c r="AF5" i="1" l="1"/>
  <c r="AG6" i="1"/>
  <c r="AH6" i="1" s="1"/>
  <c r="AI6" i="1" s="1"/>
  <c r="AJ6" i="1" s="1"/>
</calcChain>
</file>

<file path=xl/comments1.xml><?xml version="1.0" encoding="utf-8"?>
<comments xmlns="http://schemas.openxmlformats.org/spreadsheetml/2006/main">
  <authors>
    <author>Bednarczyk Paweł</author>
  </authors>
  <commentList>
    <comment ref="G3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guzik do czyszczenia @ToDo - uzyc Pandfasa -&gt;python zamiasta xlsxwriter. Slsxwriter jedynie operacje na zamknietym excelu.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  <charset val="238"/>
          </rPr>
          <t>automatycznie wypełnienie przyciskiem 'wstaw datę pierwszego poniedziałku'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>
      <text>
        <r>
          <rPr>
            <sz val="9"/>
            <color indexed="81"/>
            <rFont val="Tahoma"/>
            <family val="2"/>
            <charset val="238"/>
          </rPr>
          <t>suma godzin dla danego projektu po tygodniu</t>
        </r>
      </text>
    </comment>
    <comment ref="P6" authorId="0" shapeId="0">
      <text>
        <r>
          <rPr>
            <sz val="9"/>
            <color indexed="81"/>
            <rFont val="Tahoma"/>
            <family val="2"/>
            <charset val="238"/>
          </rPr>
          <t>suma godzin dla danego projektu po tygodniu</t>
        </r>
      </text>
    </comment>
    <comment ref="W6" authorId="0" shapeId="0">
      <text>
        <r>
          <rPr>
            <sz val="9"/>
            <color indexed="81"/>
            <rFont val="Tahoma"/>
            <family val="2"/>
            <charset val="238"/>
          </rPr>
          <t>suma godzin dla danego projektu po tygodniu</t>
        </r>
      </text>
    </comment>
    <comment ref="AD6" authorId="0" shapeId="0">
      <text>
        <r>
          <rPr>
            <sz val="9"/>
            <color indexed="81"/>
            <rFont val="Tahoma"/>
            <family val="2"/>
            <charset val="238"/>
          </rPr>
          <t>suma godzin dla danego projektu po tygodniu</t>
        </r>
      </text>
    </comment>
    <comment ref="AK6" authorId="0" shapeId="0">
      <text>
        <r>
          <rPr>
            <sz val="9"/>
            <color indexed="81"/>
            <rFont val="Tahoma"/>
            <family val="2"/>
            <charset val="238"/>
          </rPr>
          <t>suma godzin dla danego projektu po tygodniu</t>
        </r>
      </text>
    </comment>
    <comment ref="B8" authorId="0" shapeId="0">
      <text>
        <r>
          <rPr>
            <sz val="9"/>
            <color indexed="81"/>
            <rFont val="Tahoma"/>
            <family val="2"/>
            <charset val="238"/>
          </rPr>
          <t>edytowalne
nazwa</t>
        </r>
      </text>
    </comment>
    <comment ref="C8" authorId="0" shapeId="0">
      <text>
        <r>
          <rPr>
            <sz val="9"/>
            <color indexed="81"/>
            <rFont val="Tahoma"/>
            <family val="2"/>
            <charset val="238"/>
          </rPr>
          <t>edytowalne
nr zlecenia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38"/>
          </rPr>
          <t>edytowalne</t>
        </r>
      </text>
    </comment>
    <comment ref="O8" authorId="0" shapeId="0">
      <text>
        <r>
          <rPr>
            <b/>
            <sz val="9"/>
            <color indexed="81"/>
            <rFont val="Tahoma"/>
            <family val="2"/>
            <charset val="238"/>
          </rPr>
          <t>edytowalne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  <charset val="238"/>
          </rPr>
          <t>edytowalne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3 godz. j. angielski, eTutor
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3 godz. 30 minut j. angielski, j. niemiecki 30 minut, eTutor
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angielski, j. niemiecki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 3 godziny j. angielski, 1 godzina j. niemiecki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angielski, j. niemiecki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angielski, j. niemiecki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</t>
        </r>
      </text>
    </comment>
    <comment ref="O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angielski, j. niemiecki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 - j. angielski, j. niemiecki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eTutor: j. angielski, j. niemiecki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szkolenie i egzamin SEEP G2, G3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  <charset val="238"/>
          </rPr>
          <t>Uwagi: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  <charset val="238"/>
          </rPr>
          <t>kolor zielony: &lt;=40 godz. pracy w tygodniu
kolor ciemno zielony, czarny: &gt; 40 godz. pracy w tygodniu</t>
        </r>
      </text>
    </comment>
    <comment ref="P16" authorId="0" shapeId="0">
      <text>
        <r>
          <rPr>
            <b/>
            <sz val="9"/>
            <color indexed="81"/>
            <rFont val="Tahoma"/>
            <family val="2"/>
            <charset val="238"/>
          </rPr>
          <t>kolor zielony: &lt;=40 godz. pracy w tygodniu
kolor ciemno zielony, czarny: &gt; 40 godz. pracy w tygodniu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  <charset val="238"/>
          </rPr>
          <t>kolor zielony: &lt;=40 godz. pracy w tygodniu
kolor ciemno zielony, czarny: &gt; 40 godz. pracy w tygodniu</t>
        </r>
      </text>
    </comment>
    <comment ref="AD16" authorId="0" shapeId="0">
      <text>
        <r>
          <rPr>
            <b/>
            <sz val="9"/>
            <color indexed="81"/>
            <rFont val="Tahoma"/>
            <family val="2"/>
            <charset val="238"/>
          </rPr>
          <t>kolor zielony: &lt;=40 godz. pracy w tygodniu
kolor ciemno zielony, czarny: &gt; 40 godz. pracy w tygodniu</t>
        </r>
      </text>
    </comment>
    <comment ref="AK16" authorId="0" shapeId="0">
      <text>
        <r>
          <rPr>
            <b/>
            <sz val="9"/>
            <color indexed="81"/>
            <rFont val="Tahoma"/>
            <family val="2"/>
            <charset val="238"/>
          </rPr>
          <t>kolor zielony: &lt;=40 godz. pracy w tygodniu
kolor ciemno zielony, czarny: &gt; 40 godz. pracy w tygodniu</t>
        </r>
      </text>
    </comment>
    <comment ref="X17" authorId="0" shapeId="0">
      <text>
        <r>
          <rPr>
            <b/>
            <sz val="9"/>
            <color indexed="81"/>
            <rFont val="Tahoma"/>
            <family val="2"/>
            <charset val="238"/>
          </rPr>
          <t>Bednarczyk Paweł:</t>
        </r>
        <r>
          <rPr>
            <sz val="9"/>
            <color indexed="81"/>
            <rFont val="Tahoma"/>
            <family val="2"/>
            <charset val="238"/>
          </rPr>
          <t xml:space="preserve">
powinno być 120godz(104godz.+16godz.)</t>
        </r>
      </text>
    </comment>
  </commentList>
</comments>
</file>

<file path=xl/sharedStrings.xml><?xml version="1.0" encoding="utf-8"?>
<sst xmlns="http://schemas.openxmlformats.org/spreadsheetml/2006/main" count="29" uniqueCount="17">
  <si>
    <t>suma tyg.</t>
  </si>
  <si>
    <t>wersja excela:</t>
  </si>
  <si>
    <t>ścieżka katalogu:</t>
  </si>
  <si>
    <t>środowisko
 operacyjne:</t>
  </si>
  <si>
    <t>suma tyg.+ poprzednie
tyg. miesiąca</t>
  </si>
  <si>
    <t>mailto:pbednarczyk@energopomiar.com</t>
  </si>
  <si>
    <t xml:space="preserve">                                
                                   Dni
Nazwa projektu</t>
  </si>
  <si>
    <t>∑ godz. w danym dniu tyg.</t>
  </si>
  <si>
    <t xml:space="preserve"> nr zlecenia
        godz. pracy w tyg.</t>
  </si>
  <si>
    <t>godz:min:sek</t>
  </si>
  <si>
    <t>godz.:min</t>
  </si>
  <si>
    <t>*praca zdalna (prace zlecone przez kierownika),
**dojazd do zakładu pracy</t>
  </si>
  <si>
    <t>Czas pracy 1.4.28</t>
  </si>
  <si>
    <t>guzik do czyszczenia @ToDo - uzyc Pandasa -&gt;python zamiasta xlsxwriter. Xlsxwriter jedynie operacje na zamknietym excelu… -&gt;patrz book python+excel</t>
  </si>
  <si>
    <t>L-4</t>
  </si>
  <si>
    <t>Lipiec</t>
  </si>
  <si>
    <t>projekt/delegacja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</si>
</sst>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b/>
      <sz val="11"/>
      <color theme="0" tint="-0.1499984740745262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5"/>
      <color theme="1"/>
      <name val="Calibri"/>
      <family val="2"/>
      <scheme val="minor"/>
    </font>
    <font>
      <u/>
      <sz val="5"/>
      <color theme="10"/>
      <name val="Calibri"/>
      <family val="2"/>
      <scheme val="minor"/>
    </font>
    <font>
      <sz val="4"/>
      <color rgb="FF9999FF"/>
      <name val="Calibri"/>
      <family val="2"/>
      <charset val="238"/>
    </font>
    <font>
      <u/>
      <sz val="8"/>
      <color theme="10"/>
      <name val="Calibri"/>
      <family val="2"/>
      <scheme val="minor"/>
    </font>
    <font>
      <b/>
      <sz val="6"/>
      <color theme="1"/>
      <name val="Calibri"/>
      <family val="2"/>
      <charset val="238"/>
      <scheme val="minor"/>
    </font>
    <font>
      <sz val="9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rgb="FF000000"/>
      <name val="Calibri"/>
      <family val="2"/>
      <charset val="238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mediumGray">
        <bgColor rgb="FFC00000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gray0625">
        <bgColor rgb="FF00B050"/>
      </patternFill>
    </fill>
    <fill>
      <patternFill patternType="solid">
        <fgColor rgb="FF66FF3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CC66"/>
        <bgColor indexed="64"/>
      </patternFill>
    </fill>
    <fill>
      <patternFill patternType="lightTrellis">
        <bgColor rgb="FF92D050"/>
      </patternFill>
    </fill>
    <fill>
      <patternFill patternType="gray0625">
        <bgColor theme="0" tint="-4.9989318521683403E-2"/>
      </patternFill>
    </fill>
    <fill>
      <patternFill patternType="gray0625">
        <bgColor rgb="FF92D050"/>
      </patternFill>
    </fill>
    <fill>
      <patternFill patternType="gray0625">
        <bgColor rgb="FF00B0F0"/>
      </patternFill>
    </fill>
  </fills>
  <borders count="7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thin">
        <color auto="1"/>
      </diagonal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 diagonalDown="1"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auto="1"/>
      </diagonal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3" borderId="3" applyBorder="0" applyAlignment="0"/>
    <xf numFmtId="0" fontId="12" fillId="0" borderId="0" applyNumberFormat="0" applyFill="0" applyBorder="0" applyAlignment="0" applyProtection="0"/>
  </cellStyleXfs>
  <cellXfs count="153">
    <xf numFmtId="0" fontId="0" fillId="0" borderId="0" xfId="0"/>
    <xf numFmtId="0" fontId="0" fillId="2" borderId="0" xfId="0" applyFill="1"/>
    <xf numFmtId="0" fontId="0" fillId="0" borderId="0" xfId="0" applyProtection="1"/>
    <xf numFmtId="0" fontId="0" fillId="0" borderId="0" xfId="0" applyAlignment="1" applyProtection="1">
      <alignment textRotation="90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2" borderId="0" xfId="0" applyFont="1" applyFill="1" applyAlignment="1" applyProtection="1">
      <alignment shrinkToFit="1"/>
    </xf>
    <xf numFmtId="0" fontId="6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textRotation="90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0" xfId="0" applyFill="1" applyAlignment="1">
      <alignment vertical="center"/>
    </xf>
    <xf numFmtId="0" fontId="14" fillId="2" borderId="0" xfId="2" applyFont="1" applyFill="1" applyAlignment="1">
      <alignment wrapText="1"/>
    </xf>
    <xf numFmtId="0" fontId="16" fillId="2" borderId="0" xfId="2" applyFont="1" applyFill="1"/>
    <xf numFmtId="0" fontId="8" fillId="9" borderId="9" xfId="0" applyFont="1" applyFill="1" applyBorder="1" applyAlignment="1">
      <alignment textRotation="90" wrapText="1"/>
    </xf>
    <xf numFmtId="0" fontId="0" fillId="15" borderId="4" xfId="0" applyFill="1" applyBorder="1" applyAlignment="1">
      <alignment textRotation="45"/>
    </xf>
    <xf numFmtId="0" fontId="0" fillId="8" borderId="18" xfId="0" applyFill="1" applyBorder="1" applyAlignment="1" applyProtection="1">
      <alignment horizontal="left" vertical="center"/>
    </xf>
    <xf numFmtId="0" fontId="0" fillId="15" borderId="19" xfId="0" applyFill="1" applyBorder="1" applyAlignment="1">
      <alignment textRotation="45"/>
    </xf>
    <xf numFmtId="0" fontId="0" fillId="9" borderId="25" xfId="0" applyFill="1" applyBorder="1" applyAlignment="1" applyProtection="1">
      <alignment horizontal="left" vertical="top" wrapText="1"/>
    </xf>
    <xf numFmtId="0" fontId="7" fillId="9" borderId="26" xfId="0" applyFont="1" applyFill="1" applyBorder="1"/>
    <xf numFmtId="0" fontId="0" fillId="7" borderId="34" xfId="0" applyFill="1" applyBorder="1" applyAlignment="1" applyProtection="1">
      <alignment horizontal="left" vertical="center"/>
    </xf>
    <xf numFmtId="0" fontId="7" fillId="7" borderId="35" xfId="0" applyFont="1" applyFill="1" applyBorder="1" applyAlignment="1" applyProtection="1">
      <alignment horizontal="center" vertical="center"/>
    </xf>
    <xf numFmtId="0" fontId="0" fillId="7" borderId="37" xfId="0" applyFill="1" applyBorder="1" applyAlignment="1" applyProtection="1">
      <alignment horizontal="left" vertical="center"/>
    </xf>
    <xf numFmtId="0" fontId="0" fillId="7" borderId="38" xfId="0" applyFill="1" applyBorder="1" applyAlignment="1" applyProtection="1">
      <alignment horizontal="center" vertical="center"/>
    </xf>
    <xf numFmtId="0" fontId="7" fillId="7" borderId="17" xfId="0" applyFont="1" applyFill="1" applyBorder="1" applyAlignment="1" applyProtection="1">
      <alignment horizontal="center" vertical="center" wrapText="1"/>
    </xf>
    <xf numFmtId="0" fontId="8" fillId="7" borderId="46" xfId="0" applyFont="1" applyFill="1" applyBorder="1" applyAlignment="1">
      <alignment horizontal="center" vertical="center"/>
    </xf>
    <xf numFmtId="14" fontId="0" fillId="11" borderId="51" xfId="0" applyNumberFormat="1" applyFill="1" applyBorder="1" applyAlignment="1" applyProtection="1">
      <alignment horizontal="center" vertical="center" textRotation="90"/>
    </xf>
    <xf numFmtId="0" fontId="0" fillId="11" borderId="52" xfId="0" applyNumberFormat="1" applyFill="1" applyBorder="1" applyAlignment="1" applyProtection="1">
      <alignment horizontal="center" vertical="center" textRotation="90" wrapText="1"/>
    </xf>
    <xf numFmtId="14" fontId="0" fillId="12" borderId="57" xfId="0" applyNumberFormat="1" applyFill="1" applyBorder="1" applyAlignment="1" applyProtection="1">
      <alignment horizontal="center" vertical="center" textRotation="90"/>
    </xf>
    <xf numFmtId="14" fontId="0" fillId="12" borderId="58" xfId="0" applyNumberFormat="1" applyFill="1" applyBorder="1" applyAlignment="1" applyProtection="1">
      <alignment horizontal="center" vertical="center" textRotation="90"/>
    </xf>
    <xf numFmtId="14" fontId="0" fillId="12" borderId="59" xfId="0" applyNumberFormat="1" applyFill="1" applyBorder="1" applyAlignment="1" applyProtection="1">
      <alignment horizontal="center" vertical="center" textRotation="90"/>
    </xf>
    <xf numFmtId="0" fontId="0" fillId="12" borderId="57" xfId="0" applyNumberFormat="1" applyFill="1" applyBorder="1" applyAlignment="1" applyProtection="1">
      <alignment horizontal="center" vertical="center" textRotation="90"/>
    </xf>
    <xf numFmtId="14" fontId="0" fillId="10" borderId="58" xfId="0" applyNumberFormat="1" applyFill="1" applyBorder="1" applyAlignment="1" applyProtection="1">
      <alignment horizontal="center" vertical="center" textRotation="90"/>
    </xf>
    <xf numFmtId="14" fontId="0" fillId="10" borderId="59" xfId="0" applyNumberFormat="1" applyFill="1" applyBorder="1" applyAlignment="1" applyProtection="1">
      <alignment horizontal="center" vertical="center" textRotation="90"/>
    </xf>
    <xf numFmtId="0" fontId="0" fillId="10" borderId="60" xfId="0" applyNumberFormat="1" applyFill="1" applyBorder="1" applyAlignment="1" applyProtection="1">
      <alignment horizontal="center" vertical="center" textRotation="90"/>
    </xf>
    <xf numFmtId="0" fontId="0" fillId="10" borderId="59" xfId="0" applyNumberFormat="1" applyFill="1" applyBorder="1" applyAlignment="1" applyProtection="1">
      <alignment horizontal="center" vertical="center" textRotation="90" wrapText="1"/>
    </xf>
    <xf numFmtId="0" fontId="0" fillId="12" borderId="61" xfId="0" applyNumberFormat="1" applyFill="1" applyBorder="1" applyAlignment="1" applyProtection="1">
      <alignment horizontal="center" vertical="center" textRotation="90" wrapText="1"/>
    </xf>
    <xf numFmtId="14" fontId="0" fillId="13" borderId="50" xfId="0" applyNumberFormat="1" applyFill="1" applyBorder="1" applyAlignment="1" applyProtection="1">
      <alignment horizontal="center" vertical="center" textRotation="90"/>
    </xf>
    <xf numFmtId="14" fontId="0" fillId="13" borderId="51" xfId="0" applyNumberFormat="1" applyFill="1" applyBorder="1" applyAlignment="1" applyProtection="1">
      <alignment horizontal="center" vertical="center" textRotation="90"/>
    </xf>
    <xf numFmtId="0" fontId="0" fillId="13" borderId="53" xfId="0" applyNumberFormat="1" applyFill="1" applyBorder="1" applyAlignment="1" applyProtection="1">
      <alignment horizontal="center" vertical="center" textRotation="90"/>
    </xf>
    <xf numFmtId="0" fontId="0" fillId="13" borderId="52" xfId="0" applyNumberFormat="1" applyFill="1" applyBorder="1" applyAlignment="1" applyProtection="1">
      <alignment horizontal="center" vertical="center" textRotation="90" wrapText="1"/>
    </xf>
    <xf numFmtId="14" fontId="0" fillId="14" borderId="57" xfId="0" applyNumberFormat="1" applyFill="1" applyBorder="1" applyAlignment="1" applyProtection="1">
      <alignment horizontal="center" vertical="center" textRotation="90"/>
    </xf>
    <xf numFmtId="14" fontId="0" fillId="14" borderId="58" xfId="0" applyNumberFormat="1" applyFill="1" applyBorder="1" applyAlignment="1" applyProtection="1">
      <alignment horizontal="center" vertical="center" textRotation="90"/>
    </xf>
    <xf numFmtId="0" fontId="0" fillId="14" borderId="60" xfId="0" applyNumberFormat="1" applyFill="1" applyBorder="1" applyAlignment="1" applyProtection="1">
      <alignment horizontal="center" vertical="center" textRotation="90"/>
    </xf>
    <xf numFmtId="0" fontId="0" fillId="14" borderId="62" xfId="0" applyNumberFormat="1" applyFill="1" applyBorder="1" applyAlignment="1" applyProtection="1">
      <alignment horizontal="center" vertical="center" textRotation="90" wrapText="1"/>
    </xf>
    <xf numFmtId="0" fontId="13" fillId="2" borderId="34" xfId="0" applyFont="1" applyFill="1" applyBorder="1" applyAlignment="1">
      <alignment horizontal="center" vertical="center" wrapText="1"/>
    </xf>
    <xf numFmtId="0" fontId="0" fillId="2" borderId="20" xfId="0" applyFill="1" applyBorder="1"/>
    <xf numFmtId="0" fontId="0" fillId="2" borderId="20" xfId="0" applyFill="1" applyBorder="1" applyAlignment="1">
      <alignment wrapText="1"/>
    </xf>
    <xf numFmtId="0" fontId="0" fillId="2" borderId="63" xfId="0" applyFill="1" applyBorder="1" applyAlignment="1">
      <alignment wrapText="1"/>
    </xf>
    <xf numFmtId="0" fontId="0" fillId="2" borderId="37" xfId="0" applyFill="1" applyBorder="1" applyAlignment="1">
      <alignment horizontal="center" vertical="center" wrapText="1"/>
    </xf>
    <xf numFmtId="0" fontId="0" fillId="2" borderId="39" xfId="0" applyFill="1" applyBorder="1"/>
    <xf numFmtId="14" fontId="0" fillId="14" borderId="59" xfId="0" applyNumberFormat="1" applyFill="1" applyBorder="1" applyAlignment="1" applyProtection="1">
      <alignment horizontal="center" vertical="center" textRotation="90"/>
    </xf>
    <xf numFmtId="14" fontId="0" fillId="13" borderId="52" xfId="0" applyNumberFormat="1" applyFill="1" applyBorder="1" applyAlignment="1" applyProtection="1">
      <alignment horizontal="center" vertical="center" textRotation="90"/>
    </xf>
    <xf numFmtId="0" fontId="11" fillId="2" borderId="0" xfId="0" applyFont="1" applyFill="1" applyAlignment="1">
      <alignment horizontal="left" vertical="center"/>
    </xf>
    <xf numFmtId="0" fontId="11" fillId="2" borderId="8" xfId="0" applyNumberFormat="1" applyFont="1" applyFill="1" applyBorder="1" applyAlignment="1" applyProtection="1">
      <alignment horizontal="center" vertical="center" textRotation="165"/>
      <protection locked="0"/>
    </xf>
    <xf numFmtId="2" fontId="6" fillId="0" borderId="28" xfId="0" applyNumberFormat="1" applyFont="1" applyBorder="1" applyAlignment="1" applyProtection="1">
      <alignment horizontal="left" vertical="center" shrinkToFit="1"/>
      <protection locked="0"/>
    </xf>
    <xf numFmtId="2" fontId="6" fillId="0" borderId="30" xfId="0" applyNumberFormat="1" applyFont="1" applyBorder="1" applyAlignment="1" applyProtection="1">
      <alignment horizontal="left" vertical="center" shrinkToFit="1"/>
      <protection locked="0"/>
    </xf>
    <xf numFmtId="20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54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14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55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31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32" xfId="0" applyNumberFormat="1" applyFont="1" applyFill="1" applyBorder="1" applyAlignment="1" applyProtection="1">
      <alignment horizontal="center" vertical="center" wrapText="1"/>
      <protection locked="0"/>
    </xf>
    <xf numFmtId="20" fontId="6" fillId="4" borderId="56" xfId="0" applyNumberFormat="1" applyFont="1" applyFill="1" applyBorder="1" applyAlignment="1" applyProtection="1">
      <alignment horizontal="center" vertical="center" wrapText="1"/>
      <protection locked="0"/>
    </xf>
    <xf numFmtId="46" fontId="5" fillId="5" borderId="12" xfId="0" applyNumberFormat="1" applyFont="1" applyFill="1" applyBorder="1" applyAlignment="1">
      <alignment horizontal="center" vertical="center" wrapText="1"/>
    </xf>
    <xf numFmtId="46" fontId="5" fillId="5" borderId="70" xfId="0" applyNumberFormat="1" applyFont="1" applyFill="1" applyBorder="1" applyAlignment="1">
      <alignment horizontal="center" vertical="center" wrapText="1"/>
    </xf>
    <xf numFmtId="14" fontId="0" fillId="11" borderId="59" xfId="0" applyNumberFormat="1" applyFill="1" applyBorder="1" applyAlignment="1" applyProtection="1">
      <alignment horizontal="center" vertical="center" textRotation="90"/>
    </xf>
    <xf numFmtId="0" fontId="0" fillId="11" borderId="60" xfId="0" applyNumberFormat="1" applyFill="1" applyBorder="1" applyAlignment="1" applyProtection="1">
      <alignment horizontal="center" vertical="center" textRotation="90"/>
    </xf>
    <xf numFmtId="20" fontId="6" fillId="4" borderId="5" xfId="0" applyNumberFormat="1" applyFont="1" applyFill="1" applyBorder="1" applyAlignment="1" applyProtection="1">
      <alignment horizontal="center" vertical="center" wrapText="1"/>
      <protection locked="0"/>
    </xf>
    <xf numFmtId="46" fontId="5" fillId="5" borderId="15" xfId="0" applyNumberFormat="1" applyFont="1" applyFill="1" applyBorder="1" applyAlignment="1">
      <alignment horizontal="center" vertical="center" wrapText="1"/>
    </xf>
    <xf numFmtId="46" fontId="5" fillId="5" borderId="13" xfId="0" applyNumberFormat="1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shrinkToFit="1"/>
    </xf>
    <xf numFmtId="0" fontId="0" fillId="17" borderId="59" xfId="0" applyFill="1" applyBorder="1" applyAlignment="1">
      <alignment shrinkToFit="1"/>
    </xf>
    <xf numFmtId="20" fontId="17" fillId="18" borderId="16" xfId="0" applyNumberFormat="1" applyFont="1" applyFill="1" applyBorder="1" applyAlignment="1"/>
    <xf numFmtId="20" fontId="17" fillId="18" borderId="11" xfId="0" applyNumberFormat="1" applyFont="1" applyFill="1" applyBorder="1" applyAlignment="1"/>
    <xf numFmtId="20" fontId="17" fillId="18" borderId="47" xfId="0" applyNumberFormat="1" applyFont="1" applyFill="1" applyBorder="1" applyAlignment="1"/>
    <xf numFmtId="0" fontId="0" fillId="17" borderId="62" xfId="0" applyFill="1" applyBorder="1" applyAlignment="1">
      <alignment shrinkToFit="1"/>
    </xf>
    <xf numFmtId="46" fontId="5" fillId="5" borderId="27" xfId="0" applyNumberFormat="1" applyFont="1" applyFill="1" applyBorder="1" applyAlignment="1">
      <alignment horizontal="center" vertical="center" wrapText="1"/>
    </xf>
    <xf numFmtId="46" fontId="5" fillId="5" borderId="29" xfId="0" applyNumberFormat="1" applyFont="1" applyFill="1" applyBorder="1" applyAlignment="1">
      <alignment horizontal="center" vertical="center" wrapText="1"/>
    </xf>
    <xf numFmtId="46" fontId="5" fillId="5" borderId="33" xfId="0" applyNumberFormat="1" applyFont="1" applyFill="1" applyBorder="1" applyAlignment="1">
      <alignment horizontal="center" vertical="center" wrapText="1"/>
    </xf>
    <xf numFmtId="164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164" fontId="6" fillId="4" borderId="54" xfId="0" applyNumberFormat="1" applyFont="1" applyFill="1" applyBorder="1" applyAlignment="1" applyProtection="1">
      <alignment horizontal="center" vertical="center" wrapText="1"/>
      <protection locked="0"/>
    </xf>
    <xf numFmtId="164" fontId="6" fillId="4" borderId="55" xfId="0" applyNumberFormat="1" applyFont="1" applyFill="1" applyBorder="1" applyAlignment="1" applyProtection="1">
      <alignment horizontal="center" vertical="center" wrapText="1"/>
      <protection locked="0"/>
    </xf>
    <xf numFmtId="164" fontId="6" fillId="4" borderId="32" xfId="0" applyNumberFormat="1" applyFont="1" applyFill="1" applyBorder="1" applyAlignment="1" applyProtection="1">
      <alignment horizontal="center" vertical="center" wrapText="1"/>
      <protection locked="0"/>
    </xf>
    <xf numFmtId="164" fontId="6" fillId="4" borderId="56" xfId="0" applyNumberFormat="1" applyFont="1" applyFill="1" applyBorder="1" applyAlignment="1" applyProtection="1">
      <alignment horizontal="center" vertical="center" wrapText="1"/>
      <protection locked="0"/>
    </xf>
    <xf numFmtId="46" fontId="6" fillId="6" borderId="7" xfId="0" applyNumberFormat="1" applyFont="1" applyFill="1" applyBorder="1" applyAlignment="1">
      <alignment horizontal="center" vertical="center" wrapText="1"/>
    </xf>
    <xf numFmtId="46" fontId="5" fillId="2" borderId="38" xfId="0" applyNumberFormat="1" applyFont="1" applyFill="1" applyBorder="1" applyAlignment="1">
      <alignment horizontal="center" vertical="center"/>
    </xf>
    <xf numFmtId="2" fontId="13" fillId="0" borderId="28" xfId="0" applyNumberFormat="1" applyFont="1" applyBorder="1" applyAlignment="1" applyProtection="1">
      <alignment horizontal="left" vertical="center" wrapText="1" shrinkToFit="1"/>
      <protection locked="0"/>
    </xf>
    <xf numFmtId="0" fontId="11" fillId="2" borderId="71" xfId="0" applyNumberFormat="1" applyFont="1" applyFill="1" applyBorder="1" applyAlignment="1" applyProtection="1">
      <alignment horizontal="center" vertical="center" textRotation="165"/>
      <protection locked="0"/>
    </xf>
    <xf numFmtId="46" fontId="6" fillId="6" borderId="31" xfId="0" applyNumberFormat="1" applyFont="1" applyFill="1" applyBorder="1" applyAlignment="1">
      <alignment horizontal="center" vertical="center" wrapText="1"/>
    </xf>
    <xf numFmtId="0" fontId="18" fillId="0" borderId="28" xfId="0" applyFont="1" applyBorder="1" applyAlignment="1" applyProtection="1">
      <alignment horizontal="left" vertical="center" shrinkToFit="1"/>
      <protection locked="0"/>
    </xf>
    <xf numFmtId="0" fontId="19" fillId="2" borderId="8" xfId="0" applyNumberFormat="1" applyFont="1" applyFill="1" applyBorder="1" applyAlignment="1" applyProtection="1">
      <alignment horizontal="center" vertical="center" textRotation="165"/>
      <protection locked="0"/>
    </xf>
    <xf numFmtId="2" fontId="5" fillId="0" borderId="28" xfId="0" applyNumberFormat="1" applyFont="1" applyBorder="1" applyAlignment="1" applyProtection="1">
      <alignment horizontal="left" vertical="center" shrinkToFit="1"/>
      <protection locked="0"/>
    </xf>
    <xf numFmtId="14" fontId="21" fillId="10" borderId="57" xfId="0" applyNumberFormat="1" applyFont="1" applyFill="1" applyBorder="1" applyAlignment="1" applyProtection="1">
      <alignment horizontal="center" vertical="center" textRotation="90"/>
    </xf>
    <xf numFmtId="46" fontId="5" fillId="2" borderId="64" xfId="0" applyNumberFormat="1" applyFont="1" applyFill="1" applyBorder="1" applyAlignment="1">
      <alignment horizontal="center" vertical="center"/>
    </xf>
    <xf numFmtId="14" fontId="21" fillId="16" borderId="50" xfId="0" applyNumberFormat="1" applyFont="1" applyFill="1" applyBorder="1" applyAlignment="1" applyProtection="1">
      <alignment horizontal="center" vertical="center" textRotation="90"/>
    </xf>
    <xf numFmtId="14" fontId="21" fillId="11" borderId="51" xfId="0" applyNumberFormat="1" applyFont="1" applyFill="1" applyBorder="1" applyAlignment="1" applyProtection="1">
      <alignment horizontal="center" vertical="center" textRotation="90"/>
    </xf>
    <xf numFmtId="20" fontId="6" fillId="4" borderId="72" xfId="0" applyNumberFormat="1" applyFont="1" applyFill="1" applyBorder="1" applyAlignment="1" applyProtection="1">
      <alignment horizontal="center" vertical="center" wrapText="1"/>
      <protection locked="0"/>
    </xf>
    <xf numFmtId="164" fontId="6" fillId="4" borderId="73" xfId="0" applyNumberFormat="1" applyFont="1" applyFill="1" applyBorder="1" applyAlignment="1" applyProtection="1">
      <alignment horizontal="center" vertical="center" wrapText="1"/>
      <protection locked="0"/>
    </xf>
    <xf numFmtId="46" fontId="5" fillId="5" borderId="72" xfId="0" applyNumberFormat="1" applyFont="1" applyFill="1" applyBorder="1" applyAlignment="1">
      <alignment horizontal="center" vertical="center" wrapText="1"/>
    </xf>
    <xf numFmtId="20" fontId="6" fillId="4" borderId="73" xfId="0" applyNumberFormat="1" applyFont="1" applyFill="1" applyBorder="1" applyAlignment="1" applyProtection="1">
      <alignment horizontal="center" vertical="center" wrapText="1"/>
      <protection locked="0"/>
    </xf>
    <xf numFmtId="0" fontId="0" fillId="13" borderId="23" xfId="0" applyFill="1" applyBorder="1" applyAlignment="1" applyProtection="1">
      <alignment horizontal="center" vertical="center"/>
    </xf>
    <xf numFmtId="0" fontId="0" fillId="13" borderId="21" xfId="0" applyFill="1" applyBorder="1" applyAlignment="1" applyProtection="1">
      <alignment horizontal="center" vertical="center"/>
    </xf>
    <xf numFmtId="0" fontId="0" fillId="13" borderId="22" xfId="0" applyFill="1" applyBorder="1" applyAlignment="1" applyProtection="1">
      <alignment horizontal="center" vertical="center"/>
    </xf>
    <xf numFmtId="0" fontId="11" fillId="0" borderId="0" xfId="0" applyFont="1" applyAlignment="1">
      <alignment shrinkToFit="1"/>
    </xf>
    <xf numFmtId="46" fontId="10" fillId="2" borderId="19" xfId="0" applyNumberFormat="1" applyFont="1" applyFill="1" applyBorder="1" applyAlignment="1">
      <alignment horizontal="center" vertical="center"/>
    </xf>
    <xf numFmtId="46" fontId="10" fillId="2" borderId="63" xfId="0" applyNumberFormat="1" applyFont="1" applyFill="1" applyBorder="1" applyAlignment="1">
      <alignment horizontal="center" vertical="center"/>
    </xf>
    <xf numFmtId="0" fontId="0" fillId="7" borderId="39" xfId="0" applyFill="1" applyBorder="1" applyAlignment="1" applyProtection="1">
      <alignment horizontal="center" vertical="center"/>
    </xf>
    <xf numFmtId="0" fontId="0" fillId="7" borderId="40" xfId="0" applyFill="1" applyBorder="1" applyAlignment="1" applyProtection="1">
      <alignment horizontal="center" vertical="center"/>
    </xf>
    <xf numFmtId="0" fontId="7" fillId="7" borderId="20" xfId="0" applyFont="1" applyFill="1" applyBorder="1" applyAlignment="1" applyProtection="1">
      <alignment horizontal="center" vertical="center"/>
    </xf>
    <xf numFmtId="0" fontId="7" fillId="7" borderId="36" xfId="0" applyFont="1" applyFill="1" applyBorder="1" applyAlignment="1" applyProtection="1">
      <alignment horizontal="center" vertical="center"/>
    </xf>
    <xf numFmtId="0" fontId="0" fillId="12" borderId="23" xfId="0" applyFill="1" applyBorder="1" applyAlignment="1" applyProtection="1">
      <alignment horizontal="center" vertical="center"/>
    </xf>
    <xf numFmtId="0" fontId="0" fillId="12" borderId="21" xfId="0" applyFill="1" applyBorder="1" applyAlignment="1" applyProtection="1">
      <alignment horizontal="center" vertical="center"/>
    </xf>
    <xf numFmtId="0" fontId="0" fillId="12" borderId="22" xfId="0" applyFill="1" applyBorder="1" applyAlignment="1" applyProtection="1">
      <alignment horizontal="center" vertical="center"/>
    </xf>
    <xf numFmtId="0" fontId="11" fillId="2" borderId="65" xfId="0" applyFont="1" applyFill="1" applyBorder="1" applyAlignment="1" applyProtection="1">
      <alignment horizontal="left" vertical="top" wrapText="1"/>
      <protection locked="0"/>
    </xf>
    <xf numFmtId="0" fontId="11" fillId="2" borderId="66" xfId="0" applyFont="1" applyFill="1" applyBorder="1" applyAlignment="1" applyProtection="1">
      <alignment horizontal="left" vertical="top" wrapText="1"/>
      <protection locked="0"/>
    </xf>
    <xf numFmtId="0" fontId="11" fillId="2" borderId="67" xfId="0" applyFont="1" applyFill="1" applyBorder="1" applyAlignment="1" applyProtection="1">
      <alignment horizontal="left" vertical="top" wrapText="1"/>
      <protection locked="0"/>
    </xf>
    <xf numFmtId="0" fontId="0" fillId="11" borderId="48" xfId="0" applyFill="1" applyBorder="1" applyAlignment="1" applyProtection="1">
      <alignment horizontal="center" vertical="center"/>
    </xf>
    <xf numFmtId="0" fontId="0" fillId="11" borderId="21" xfId="0" applyFill="1" applyBorder="1" applyAlignment="1" applyProtection="1">
      <alignment horizontal="center" vertical="center"/>
    </xf>
    <xf numFmtId="0" fontId="0" fillId="11" borderId="49" xfId="0" applyFill="1" applyBorder="1" applyAlignment="1" applyProtection="1">
      <alignment horizontal="center" vertical="center"/>
    </xf>
    <xf numFmtId="0" fontId="0" fillId="10" borderId="48" xfId="0" applyFill="1" applyBorder="1" applyAlignment="1" applyProtection="1">
      <alignment horizontal="center" vertical="center"/>
    </xf>
    <xf numFmtId="0" fontId="0" fillId="10" borderId="21" xfId="0" applyFill="1" applyBorder="1" applyAlignment="1" applyProtection="1">
      <alignment horizontal="center" vertical="center"/>
    </xf>
    <xf numFmtId="0" fontId="0" fillId="10" borderId="22" xfId="0" applyFill="1" applyBorder="1" applyAlignment="1" applyProtection="1">
      <alignment horizontal="center" vertical="center"/>
    </xf>
    <xf numFmtId="0" fontId="6" fillId="7" borderId="41" xfId="0" applyFont="1" applyFill="1" applyBorder="1" applyAlignment="1" applyProtection="1">
      <alignment horizontal="center" vertical="center"/>
    </xf>
    <xf numFmtId="0" fontId="6" fillId="7" borderId="42" xfId="0" applyFont="1" applyFill="1" applyBorder="1" applyAlignment="1" applyProtection="1">
      <alignment horizontal="center" vertical="center"/>
    </xf>
    <xf numFmtId="0" fontId="6" fillId="7" borderId="43" xfId="0" applyFont="1" applyFill="1" applyBorder="1" applyAlignment="1" applyProtection="1">
      <alignment horizontal="center" vertical="center"/>
    </xf>
    <xf numFmtId="0" fontId="8" fillId="7" borderId="44" xfId="0" applyFont="1" applyFill="1" applyBorder="1" applyAlignment="1">
      <alignment horizontal="center" vertical="center"/>
    </xf>
    <xf numFmtId="0" fontId="8" fillId="7" borderId="43" xfId="0" applyFont="1" applyFill="1" applyBorder="1" applyAlignment="1">
      <alignment horizontal="center" vertical="center"/>
    </xf>
    <xf numFmtId="0" fontId="8" fillId="7" borderId="44" xfId="0" applyNumberFormat="1" applyFont="1" applyFill="1" applyBorder="1" applyAlignment="1">
      <alignment horizontal="center" vertical="center"/>
    </xf>
    <xf numFmtId="0" fontId="8" fillId="7" borderId="43" xfId="0" applyNumberFormat="1" applyFont="1" applyFill="1" applyBorder="1" applyAlignment="1">
      <alignment horizontal="center" vertical="center"/>
    </xf>
    <xf numFmtId="0" fontId="9" fillId="7" borderId="44" xfId="0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8" fillId="7" borderId="44" xfId="0" applyFont="1" applyFill="1" applyBorder="1" applyAlignment="1">
      <alignment horizontal="center" vertical="center" wrapText="1"/>
    </xf>
    <xf numFmtId="0" fontId="8" fillId="7" borderId="42" xfId="0" applyFont="1" applyFill="1" applyBorder="1" applyAlignment="1">
      <alignment horizontal="center" vertical="center" wrapText="1"/>
    </xf>
    <xf numFmtId="0" fontId="8" fillId="7" borderId="43" xfId="0" applyFont="1" applyFill="1" applyBorder="1" applyAlignment="1">
      <alignment horizontal="center" vertical="center" wrapText="1"/>
    </xf>
    <xf numFmtId="0" fontId="0" fillId="14" borderId="23" xfId="0" applyFill="1" applyBorder="1" applyAlignment="1" applyProtection="1">
      <alignment horizontal="center" vertical="center"/>
    </xf>
    <xf numFmtId="0" fontId="0" fillId="14" borderId="21" xfId="0" applyFill="1" applyBorder="1" applyAlignment="1" applyProtection="1">
      <alignment horizontal="center" vertical="center"/>
    </xf>
    <xf numFmtId="0" fontId="0" fillId="14" borderId="24" xfId="0" applyFill="1" applyBorder="1" applyAlignment="1" applyProtection="1">
      <alignment horizontal="center" vertical="center"/>
    </xf>
    <xf numFmtId="0" fontId="11" fillId="2" borderId="10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Border="1" applyAlignment="1" applyProtection="1">
      <alignment horizontal="left" vertical="top" wrapText="1"/>
      <protection locked="0"/>
    </xf>
    <xf numFmtId="0" fontId="11" fillId="2" borderId="3" xfId="0" applyFont="1" applyFill="1" applyBorder="1" applyAlignment="1" applyProtection="1">
      <alignment horizontal="left" vertical="top" wrapText="1"/>
      <protection locked="0"/>
    </xf>
    <xf numFmtId="0" fontId="11" fillId="2" borderId="10" xfId="0" applyFont="1" applyFill="1" applyBorder="1" applyAlignment="1" applyProtection="1">
      <alignment horizontal="left" vertical="top"/>
      <protection locked="0"/>
    </xf>
    <xf numFmtId="0" fontId="11" fillId="2" borderId="0" xfId="0" applyFont="1" applyFill="1" applyBorder="1" applyAlignment="1" applyProtection="1">
      <alignment horizontal="left" vertical="top"/>
      <protection locked="0"/>
    </xf>
    <xf numFmtId="0" fontId="11" fillId="2" borderId="3" xfId="0" applyFont="1" applyFill="1" applyBorder="1" applyAlignment="1" applyProtection="1">
      <alignment horizontal="left" vertical="top"/>
      <protection locked="0"/>
    </xf>
    <xf numFmtId="0" fontId="11" fillId="2" borderId="68" xfId="0" applyFont="1" applyFill="1" applyBorder="1" applyAlignment="1" applyProtection="1">
      <alignment horizontal="left" vertical="top"/>
      <protection locked="0"/>
    </xf>
    <xf numFmtId="0" fontId="11" fillId="0" borderId="66" xfId="0" applyFont="1" applyBorder="1" applyAlignment="1" applyProtection="1">
      <alignment horizontal="left" vertical="top"/>
      <protection locked="0"/>
    </xf>
    <xf numFmtId="0" fontId="11" fillId="0" borderId="69" xfId="0" applyFont="1" applyBorder="1" applyAlignment="1" applyProtection="1">
      <alignment horizontal="left" vertical="top"/>
      <protection locked="0"/>
    </xf>
    <xf numFmtId="0" fontId="8" fillId="7" borderId="41" xfId="0" applyFont="1" applyFill="1" applyBorder="1" applyAlignment="1">
      <alignment horizontal="center" vertical="center"/>
    </xf>
    <xf numFmtId="0" fontId="8" fillId="7" borderId="42" xfId="0" applyFont="1" applyFill="1" applyBorder="1" applyAlignment="1">
      <alignment horizontal="center" vertical="center"/>
    </xf>
    <xf numFmtId="22" fontId="6" fillId="7" borderId="44" xfId="0" applyNumberFormat="1" applyFont="1" applyFill="1" applyBorder="1" applyAlignment="1" applyProtection="1">
      <alignment horizontal="center" vertical="center"/>
    </xf>
    <xf numFmtId="0" fontId="6" fillId="7" borderId="45" xfId="0" applyFont="1" applyFill="1" applyBorder="1" applyAlignment="1" applyProtection="1">
      <alignment horizontal="center" vertical="center"/>
    </xf>
  </cellXfs>
  <cellStyles count="3">
    <cellStyle name="Hiperłącze" xfId="2" builtinId="8"/>
    <cellStyle name="Normalny" xfId="0" builtinId="0"/>
    <cellStyle name="Styl 1" xfId="1"/>
  </cellStyles>
  <dxfs count="24"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b val="0"/>
        <i val="0"/>
      </font>
      <numFmt numFmtId="30" formatCode="@"/>
      <fill>
        <patternFill patternType="mediumGray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33"/>
      <color rgb="FF00CC66"/>
      <color rgb="FF66FF99"/>
      <color rgb="FF99FFCC"/>
      <color rgb="FF66FF66"/>
      <color rgb="FF66FF33"/>
      <color rgb="FF33CC33"/>
      <color rgb="FF99FF33"/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0</xdr:rowOff>
        </xdr:from>
        <xdr:to>
          <xdr:col>38</xdr:col>
          <xdr:colOff>133350</xdr:colOff>
          <xdr:row>20</xdr:row>
          <xdr:rowOff>114300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5570</xdr:colOff>
      <xdr:row>2</xdr:row>
      <xdr:rowOff>5896</xdr:rowOff>
    </xdr:from>
    <xdr:to>
      <xdr:col>9</xdr:col>
      <xdr:colOff>660620</xdr:colOff>
      <xdr:row>2</xdr:row>
      <xdr:rowOff>293896</xdr:rowOff>
    </xdr:to>
    <xdr:grpSp>
      <xdr:nvGrpSpPr>
        <xdr:cNvPr id="2" name="Grupa 1"/>
        <xdr:cNvGrpSpPr/>
      </xdr:nvGrpSpPr>
      <xdr:grpSpPr>
        <a:xfrm>
          <a:off x="4975888" y="231032"/>
          <a:ext cx="655050" cy="288000"/>
          <a:chOff x="4984440" y="234026"/>
          <a:chExt cx="655050" cy="288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82" name="Button 58" hidden="1">
                <a:extLst>
                  <a:ext uri="{63B3BB69-23CF-44E3-9099-C40C66FF867C}">
                    <a14:compatExt spid="_x0000_s1082"/>
                  </a:ext>
                </a:extLst>
              </xdr:cNvPr>
              <xdr:cNvSpPr/>
            </xdr:nvSpPr>
            <xdr:spPr bwMode="auto">
              <a:xfrm>
                <a:off x="4984440" y="234026"/>
                <a:ext cx="52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18288" rIns="0" bIns="0" anchor="t" upright="1"/>
              <a:lstStyle/>
              <a:p>
                <a:pPr algn="l" rtl="0">
                  <a:defRPr sz="1000"/>
                </a:pPr>
                <a:r>
                  <a:rPr lang="en-GB" sz="400" b="0" i="0" u="none" strike="noStrike" baseline="0">
                    <a:solidFill>
                      <a:srgbClr val="9999FF"/>
                    </a:solidFill>
                    <a:latin typeface="Calibri"/>
                    <a:cs typeface="Calibri"/>
                  </a:rPr>
                  <a:t>* Wstaw</a:t>
                </a:r>
              </a:p>
              <a:p>
                <a:pPr algn="l" rtl="0">
                  <a:defRPr sz="1000"/>
                </a:pPr>
                <a:r>
                  <a:rPr lang="en-GB" sz="400" b="0" i="0" u="none" strike="noStrike" baseline="0">
                    <a:solidFill>
                      <a:srgbClr val="9999FF"/>
                    </a:solidFill>
                    <a:latin typeface="Calibri"/>
                    <a:cs typeface="Calibri"/>
                  </a:rPr>
                  <a:t>datę pierwszego poniedziałku</a:t>
                </a:r>
              </a:p>
              <a:p>
                <a:pPr algn="l" rtl="0">
                  <a:defRPr sz="1000"/>
                </a:pPr>
                <a:endParaRPr lang="en-GB" sz="400" b="0" i="0" u="none" strike="noStrike" baseline="0">
                  <a:solidFill>
                    <a:srgbClr val="9999FF"/>
                  </a:solidFill>
                  <a:latin typeface="Calibri"/>
                  <a:cs typeface="Calibri"/>
                </a:endParaRPr>
              </a:p>
            </xdr:txBody>
          </xdr:sp>
        </mc:Choice>
        <mc:Fallback/>
      </mc:AlternateContent>
      <xdr:pic>
        <xdr:nvPicPr>
          <xdr:cNvPr id="4" name="Obraz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55435" y="236127"/>
            <a:ext cx="284055" cy="280889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19050</xdr:rowOff>
        </xdr:from>
        <xdr:to>
          <xdr:col>15</xdr:col>
          <xdr:colOff>717550</xdr:colOff>
          <xdr:row>3</xdr:row>
          <xdr:rowOff>158750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@To improve-&gt; Run Python Script - to fix formulas/values - **? sign( etc) was removed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mailto:pbednarczyk@energopomiar.co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1:AU21"/>
  <sheetViews>
    <sheetView tabSelected="1" view="pageBreakPreview" zoomScale="110" zoomScaleNormal="120" zoomScaleSheetLayoutView="11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F13" sqref="F13"/>
    </sheetView>
  </sheetViews>
  <sheetFormatPr defaultRowHeight="14.5" x14ac:dyDescent="0.35"/>
  <cols>
    <col min="1" max="1" width="2.54296875" customWidth="1"/>
    <col min="2" max="2" width="22.08984375" customWidth="1"/>
    <col min="3" max="3" width="5" customWidth="1"/>
    <col min="4" max="8" width="6.6328125" bestFit="1" customWidth="1"/>
    <col min="9" max="9" width="8.453125" customWidth="1"/>
    <col min="10" max="10" width="9.54296875" customWidth="1"/>
    <col min="11" max="11" width="6.6328125" customWidth="1"/>
    <col min="12" max="15" width="6.6328125" bestFit="1" customWidth="1"/>
    <col min="16" max="16" width="10.26953125" customWidth="1"/>
    <col min="17" max="17" width="8.54296875" customWidth="1"/>
    <col min="18" max="22" width="4.54296875" bestFit="1" customWidth="1"/>
    <col min="23" max="23" width="6.453125" customWidth="1"/>
    <col min="24" max="24" width="17" customWidth="1"/>
    <col min="25" max="29" width="4.54296875" bestFit="1" customWidth="1"/>
    <col min="30" max="30" width="6.453125" customWidth="1"/>
    <col min="31" max="31" width="8.90625" customWidth="1"/>
    <col min="32" max="36" width="4.54296875" bestFit="1" customWidth="1"/>
    <col min="37" max="37" width="6.453125" customWidth="1"/>
    <col min="38" max="38" width="8.90625" customWidth="1"/>
    <col min="39" max="39" width="2.7265625" customWidth="1"/>
    <col min="40" max="40" width="7.453125" customWidth="1"/>
  </cols>
  <sheetData>
    <row r="1" spans="2:47" ht="6.5" customHeight="1" x14ac:dyDescent="0.35"/>
    <row r="2" spans="2:47" ht="11.5" customHeight="1" thickBot="1" x14ac:dyDescent="0.4">
      <c r="B2" s="52" t="s">
        <v>12</v>
      </c>
      <c r="C2" s="1"/>
      <c r="D2" s="1"/>
      <c r="E2" s="1"/>
      <c r="F2" s="10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2:47" s="2" customFormat="1" ht="23.5" customHeight="1" thickTop="1" thickBot="1" x14ac:dyDescent="0.4">
      <c r="B3" s="19" t="str">
        <f>UPPER("rok")</f>
        <v>ROK</v>
      </c>
      <c r="C3" s="20">
        <v>2023</v>
      </c>
      <c r="D3" s="110" t="str">
        <f>ROMAN(($C$3),0)</f>
        <v>MMXXIII</v>
      </c>
      <c r="E3" s="110"/>
      <c r="F3" s="111"/>
      <c r="G3" s="4" t="s">
        <v>13</v>
      </c>
      <c r="H3" s="23">
        <v>7</v>
      </c>
      <c r="I3" s="5"/>
      <c r="J3" s="9"/>
      <c r="K3" s="6"/>
      <c r="L3" s="124" t="str">
        <f>CONCATENATE(PROPER("czas "),
"modyfikacji:")</f>
        <v>Czas modyfikacji:</v>
      </c>
      <c r="M3" s="125"/>
      <c r="N3" s="125"/>
      <c r="O3" s="125"/>
      <c r="P3" s="126"/>
      <c r="Q3" s="151">
        <f ca="1">NOW()</f>
        <v>45127.651544444445</v>
      </c>
      <c r="R3" s="125"/>
      <c r="S3" s="125"/>
      <c r="T3" s="152"/>
      <c r="U3" s="7"/>
      <c r="V3" s="149" t="s">
        <v>2</v>
      </c>
      <c r="W3" s="150"/>
      <c r="X3" s="128"/>
      <c r="Y3" s="131" t="str">
        <f ca="1">INFO("KATALOG")</f>
        <v>C:\Users\pbednarczyk\Documents\</v>
      </c>
      <c r="Z3" s="132"/>
      <c r="AA3" s="132"/>
      <c r="AB3" s="132"/>
      <c r="AC3" s="132"/>
      <c r="AD3" s="133"/>
      <c r="AE3" s="127" t="s">
        <v>1</v>
      </c>
      <c r="AF3" s="128"/>
      <c r="AG3" s="129" t="str">
        <f ca="1">INFO("WERSJA")</f>
        <v>15.0</v>
      </c>
      <c r="AH3" s="130"/>
      <c r="AI3" s="134" t="s">
        <v>3</v>
      </c>
      <c r="AJ3" s="135"/>
      <c r="AK3" s="136"/>
      <c r="AL3" s="24" t="str">
        <f ca="1">INFO("SYSTEM")</f>
        <v>pcdos</v>
      </c>
      <c r="AM3" s="4"/>
      <c r="AN3" s="4"/>
    </row>
    <row r="4" spans="2:47" s="2" customFormat="1" ht="13" customHeight="1" thickBot="1" x14ac:dyDescent="0.4">
      <c r="B4" s="21" t="str">
        <f>PROPER("miesiąc")</f>
        <v>Miesiąc</v>
      </c>
      <c r="C4" s="22">
        <v>7</v>
      </c>
      <c r="D4" s="108" t="s">
        <v>15</v>
      </c>
      <c r="E4" s="108"/>
      <c r="F4" s="109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7" s="2" customFormat="1" ht="10.5" customHeight="1" thickTop="1" thickBot="1" x14ac:dyDescent="0.4">
      <c r="B5" s="15" t="str">
        <f>PROPER("nr. tygodnia")</f>
        <v>Nr. Tygodnia</v>
      </c>
      <c r="C5" s="16"/>
      <c r="D5" s="118" t="str">
        <f>PROPER("tydzień ")&amp;WEEKNUM(D6,1)&amp;" roku"</f>
        <v>Tydzień 27 roku</v>
      </c>
      <c r="E5" s="119"/>
      <c r="F5" s="119"/>
      <c r="G5" s="119"/>
      <c r="H5" s="119"/>
      <c r="I5" s="119"/>
      <c r="J5" s="120"/>
      <c r="K5" s="121" t="str">
        <f>PROPER("tydzień ")&amp;(WEEKNUM(K6,1)&amp;" roku")</f>
        <v>Tydzień 28 roku</v>
      </c>
      <c r="L5" s="122"/>
      <c r="M5" s="122"/>
      <c r="N5" s="122"/>
      <c r="O5" s="122"/>
      <c r="P5" s="122"/>
      <c r="Q5" s="123"/>
      <c r="R5" s="112" t="str">
        <f>PROPER("tydzień ")&amp;WEEKNUM(R6,1)&amp;" roku"</f>
        <v>Tydzień 29 roku</v>
      </c>
      <c r="S5" s="113"/>
      <c r="T5" s="113"/>
      <c r="U5" s="113"/>
      <c r="V5" s="113"/>
      <c r="W5" s="113"/>
      <c r="X5" s="114"/>
      <c r="Y5" s="102" t="str">
        <f>PROPER("tydzień ")&amp;WEEKNUM(Y6,1)&amp;" roku"</f>
        <v>Tydzień 30 roku</v>
      </c>
      <c r="Z5" s="103"/>
      <c r="AA5" s="103"/>
      <c r="AB5" s="103"/>
      <c r="AC5" s="103"/>
      <c r="AD5" s="103"/>
      <c r="AE5" s="104"/>
      <c r="AF5" s="137" t="str">
        <f>PROPER("tydzień ")&amp;WEEKNUM(AF6,1)&amp;" roku"</f>
        <v>Tydzień 31 roku</v>
      </c>
      <c r="AG5" s="138"/>
      <c r="AH5" s="138"/>
      <c r="AI5" s="138"/>
      <c r="AJ5" s="138"/>
      <c r="AK5" s="138"/>
      <c r="AL5" s="139"/>
      <c r="AM5" s="4"/>
      <c r="AN5" s="4"/>
    </row>
    <row r="6" spans="2:47" s="2" customFormat="1" ht="64.5" customHeight="1" thickTop="1" thickBot="1" x14ac:dyDescent="0.4">
      <c r="B6" s="17" t="s">
        <v>6</v>
      </c>
      <c r="C6" s="13" t="s">
        <v>8</v>
      </c>
      <c r="D6" s="96">
        <v>45110</v>
      </c>
      <c r="E6" s="25">
        <f>D$6+1</f>
        <v>45111</v>
      </c>
      <c r="F6" s="97">
        <f>E$6+1</f>
        <v>45112</v>
      </c>
      <c r="G6" s="25">
        <f>F$6+1</f>
        <v>45113</v>
      </c>
      <c r="H6" s="66">
        <f>G$6+1</f>
        <v>45114</v>
      </c>
      <c r="I6" s="67" t="s">
        <v>0</v>
      </c>
      <c r="J6" s="26" t="s">
        <v>4</v>
      </c>
      <c r="K6" s="94">
        <f>H$6+3</f>
        <v>45117</v>
      </c>
      <c r="L6" s="31">
        <f>K$6+1</f>
        <v>45118</v>
      </c>
      <c r="M6" s="31">
        <f t="shared" ref="M6:N6" si="0">L$6+1</f>
        <v>45119</v>
      </c>
      <c r="N6" s="31">
        <f t="shared" si="0"/>
        <v>45120</v>
      </c>
      <c r="O6" s="32">
        <f>N$6+1</f>
        <v>45121</v>
      </c>
      <c r="P6" s="33" t="s">
        <v>0</v>
      </c>
      <c r="Q6" s="34" t="str">
        <f>J$6</f>
        <v>suma tyg.+ poprzednie
tyg. miesiąca</v>
      </c>
      <c r="R6" s="27">
        <f>O$6+3</f>
        <v>45124</v>
      </c>
      <c r="S6" s="28">
        <f>R$6+1</f>
        <v>45125</v>
      </c>
      <c r="T6" s="28">
        <f t="shared" ref="T6:V6" si="1">S$6+1</f>
        <v>45126</v>
      </c>
      <c r="U6" s="28">
        <f t="shared" si="1"/>
        <v>45127</v>
      </c>
      <c r="V6" s="29">
        <f t="shared" si="1"/>
        <v>45128</v>
      </c>
      <c r="W6" s="30" t="s">
        <v>0</v>
      </c>
      <c r="X6" s="35" t="str">
        <f>Q$6</f>
        <v>suma tyg.+ poprzednie
tyg. miesiąca</v>
      </c>
      <c r="Y6" s="36">
        <f>V$6+3</f>
        <v>45131</v>
      </c>
      <c r="Z6" s="37">
        <f>Y$6+1</f>
        <v>45132</v>
      </c>
      <c r="AA6" s="37">
        <f t="shared" ref="AA6" si="2">Z$6+1</f>
        <v>45133</v>
      </c>
      <c r="AB6" s="37">
        <f>AA$6+1</f>
        <v>45134</v>
      </c>
      <c r="AC6" s="51">
        <f>AB$6+1</f>
        <v>45135</v>
      </c>
      <c r="AD6" s="38" t="s">
        <v>0</v>
      </c>
      <c r="AE6" s="39" t="str">
        <f>X$6</f>
        <v>suma tyg.+ poprzednie
tyg. miesiąca</v>
      </c>
      <c r="AF6" s="40">
        <f>AC6+3</f>
        <v>45138</v>
      </c>
      <c r="AG6" s="41">
        <f>AF$6+1</f>
        <v>45139</v>
      </c>
      <c r="AH6" s="41">
        <f t="shared" ref="AH6:AJ6" si="3">AG$6+1</f>
        <v>45140</v>
      </c>
      <c r="AI6" s="41">
        <f t="shared" si="3"/>
        <v>45141</v>
      </c>
      <c r="AJ6" s="50">
        <f t="shared" si="3"/>
        <v>45142</v>
      </c>
      <c r="AK6" s="42" t="s">
        <v>0</v>
      </c>
      <c r="AL6" s="43" t="str">
        <f>AE$6</f>
        <v>suma tyg.+ poprzednie
tyg. miesiąca</v>
      </c>
      <c r="AM6" s="8"/>
      <c r="AN6" s="8"/>
      <c r="AO6" s="3"/>
      <c r="AP6" s="3"/>
      <c r="AQ6" s="3"/>
      <c r="AR6" s="3"/>
      <c r="AS6" s="3"/>
      <c r="AT6" s="3"/>
      <c r="AU6" s="3"/>
    </row>
    <row r="7" spans="2:47" ht="12" customHeight="1" thickTop="1" thickBot="1" x14ac:dyDescent="0.4">
      <c r="B7" s="18" t="s">
        <v>7</v>
      </c>
      <c r="C7" s="14"/>
      <c r="D7" s="73">
        <f>SUM(D$8:D$14)</f>
        <v>0</v>
      </c>
      <c r="E7" s="74">
        <f t="shared" ref="E7:H7" si="4">SUM(E$8:E$14)</f>
        <v>0</v>
      </c>
      <c r="F7" s="74">
        <f t="shared" si="4"/>
        <v>0</v>
      </c>
      <c r="G7" s="74">
        <f t="shared" si="4"/>
        <v>0</v>
      </c>
      <c r="H7" s="75">
        <f t="shared" si="4"/>
        <v>0</v>
      </c>
      <c r="I7" s="71" t="s">
        <v>10</v>
      </c>
      <c r="J7" s="72" t="s">
        <v>9</v>
      </c>
      <c r="K7" s="73">
        <f>SUM(K$8:K$14)</f>
        <v>0</v>
      </c>
      <c r="L7" s="74">
        <f t="shared" ref="L7:O7" si="5">SUM(L$8:L$14)</f>
        <v>0</v>
      </c>
      <c r="M7" s="74">
        <f t="shared" si="5"/>
        <v>0</v>
      </c>
      <c r="N7" s="74">
        <f t="shared" si="5"/>
        <v>0</v>
      </c>
      <c r="O7" s="75">
        <f t="shared" si="5"/>
        <v>0</v>
      </c>
      <c r="P7" s="71" t="s">
        <v>10</v>
      </c>
      <c r="Q7" s="72" t="s">
        <v>9</v>
      </c>
      <c r="R7" s="73">
        <f>SUM(R$8:R$14)</f>
        <v>0</v>
      </c>
      <c r="S7" s="74">
        <f t="shared" ref="S7:V7" si="6">SUM(S$8:S$14)</f>
        <v>0</v>
      </c>
      <c r="T7" s="74">
        <f t="shared" si="6"/>
        <v>0</v>
      </c>
      <c r="U7" s="74">
        <f t="shared" si="6"/>
        <v>0</v>
      </c>
      <c r="V7" s="75">
        <f t="shared" si="6"/>
        <v>0</v>
      </c>
      <c r="W7" s="71" t="s">
        <v>10</v>
      </c>
      <c r="X7" s="72" t="s">
        <v>9</v>
      </c>
      <c r="Y7" s="73">
        <f>SUM(Y$8:Y$14)</f>
        <v>0</v>
      </c>
      <c r="Z7" s="74">
        <f t="shared" ref="Z7:AC7" si="7">SUM(Z$8:Z$14)</f>
        <v>0</v>
      </c>
      <c r="AA7" s="74">
        <f t="shared" si="7"/>
        <v>0</v>
      </c>
      <c r="AB7" s="74">
        <f t="shared" si="7"/>
        <v>0</v>
      </c>
      <c r="AC7" s="75">
        <f t="shared" si="7"/>
        <v>0</v>
      </c>
      <c r="AD7" s="71" t="s">
        <v>10</v>
      </c>
      <c r="AE7" s="72" t="s">
        <v>9</v>
      </c>
      <c r="AF7" s="73">
        <f>SUM(AF$8:AF$14)</f>
        <v>0</v>
      </c>
      <c r="AG7" s="74">
        <f t="shared" ref="AG7:AJ7" si="8">SUM(AG$8:AG$14)</f>
        <v>0</v>
      </c>
      <c r="AH7" s="74">
        <f t="shared" si="8"/>
        <v>0</v>
      </c>
      <c r="AI7" s="74">
        <f t="shared" si="8"/>
        <v>0</v>
      </c>
      <c r="AJ7" s="75">
        <f t="shared" si="8"/>
        <v>0</v>
      </c>
      <c r="AK7" s="71" t="s">
        <v>10</v>
      </c>
      <c r="AL7" s="76" t="s">
        <v>9</v>
      </c>
      <c r="AM7" s="1"/>
      <c r="AN7" s="1"/>
    </row>
    <row r="8" spans="2:47" ht="11" customHeight="1" x14ac:dyDescent="0.35">
      <c r="B8" s="91" t="s">
        <v>14</v>
      </c>
      <c r="C8" s="92"/>
      <c r="D8" s="58"/>
      <c r="E8" s="81"/>
      <c r="F8" s="80"/>
      <c r="G8" s="81"/>
      <c r="H8" s="82"/>
      <c r="I8" s="86">
        <f t="shared" ref="I8:I14" si="9">SUM(D8:H8)</f>
        <v>0</v>
      </c>
      <c r="J8" s="69">
        <f>$I8</f>
        <v>0</v>
      </c>
      <c r="K8" s="59"/>
      <c r="L8" s="81"/>
      <c r="M8" s="81"/>
      <c r="N8" s="81"/>
      <c r="O8" s="82"/>
      <c r="P8" s="86">
        <f t="shared" ref="P8:P14" si="10">SUM(K8:O8)</f>
        <v>0</v>
      </c>
      <c r="Q8" s="69">
        <f>$J8+$P8</f>
        <v>0</v>
      </c>
      <c r="R8" s="59"/>
      <c r="S8" s="56"/>
      <c r="T8" s="56"/>
      <c r="U8" s="56"/>
      <c r="V8" s="57"/>
      <c r="W8" s="86">
        <f t="shared" ref="W8:W14" si="11">SUM(R8:V8)</f>
        <v>0</v>
      </c>
      <c r="X8" s="69">
        <f>$Q8+$W8</f>
        <v>0</v>
      </c>
      <c r="Y8" s="68"/>
      <c r="Z8" s="56"/>
      <c r="AA8" s="56"/>
      <c r="AB8" s="56"/>
      <c r="AC8" s="57"/>
      <c r="AD8" s="86">
        <f t="shared" ref="AD8:AD14" si="12">SUM(Y8:AC8)</f>
        <v>0</v>
      </c>
      <c r="AE8" s="69">
        <f>$AD8+$X8</f>
        <v>0</v>
      </c>
      <c r="AF8" s="68"/>
      <c r="AG8" s="56"/>
      <c r="AH8" s="56"/>
      <c r="AI8" s="56"/>
      <c r="AJ8" s="57"/>
      <c r="AK8" s="86">
        <f t="shared" ref="AK8:AK14" si="13">SUM(AF8:AJ8)</f>
        <v>0</v>
      </c>
      <c r="AL8" s="77">
        <f>$AK8+$AE8</f>
        <v>0</v>
      </c>
      <c r="AM8" s="1"/>
      <c r="AN8" s="1"/>
    </row>
    <row r="9" spans="2:47" ht="7.5" customHeight="1" x14ac:dyDescent="0.35">
      <c r="B9" s="91" t="s">
        <v>16</v>
      </c>
      <c r="C9" s="92"/>
      <c r="D9" s="58"/>
      <c r="E9" s="80"/>
      <c r="F9" s="80"/>
      <c r="G9" s="80"/>
      <c r="H9" s="83"/>
      <c r="I9" s="86">
        <f t="shared" si="9"/>
        <v>0</v>
      </c>
      <c r="J9" s="70">
        <f t="shared" ref="J9:J14" si="14">$I9</f>
        <v>0</v>
      </c>
      <c r="K9" s="59"/>
      <c r="L9" s="80"/>
      <c r="M9" s="80"/>
      <c r="N9" s="80"/>
      <c r="O9" s="83"/>
      <c r="P9" s="86">
        <f t="shared" si="10"/>
        <v>0</v>
      </c>
      <c r="Q9" s="70">
        <f t="shared" ref="Q9:Q14" si="15">$J9+$P9</f>
        <v>0</v>
      </c>
      <c r="R9" s="58"/>
      <c r="S9" s="59"/>
      <c r="T9" s="59"/>
      <c r="U9" s="59"/>
      <c r="V9" s="60"/>
      <c r="W9" s="86">
        <f t="shared" si="11"/>
        <v>0</v>
      </c>
      <c r="X9" s="70">
        <f t="shared" ref="X9:X14" si="16">$Q9+$W9</f>
        <v>0</v>
      </c>
      <c r="Y9" s="68"/>
      <c r="Z9" s="59"/>
      <c r="AA9" s="59"/>
      <c r="AB9" s="59"/>
      <c r="AC9" s="60"/>
      <c r="AD9" s="86">
        <f t="shared" si="12"/>
        <v>0</v>
      </c>
      <c r="AE9" s="70">
        <f t="shared" ref="AE9:AE14" si="17">$AD9+$X9</f>
        <v>0</v>
      </c>
      <c r="AF9" s="68"/>
      <c r="AG9" s="59"/>
      <c r="AH9" s="59"/>
      <c r="AI9" s="59"/>
      <c r="AJ9" s="60"/>
      <c r="AK9" s="86">
        <f t="shared" si="13"/>
        <v>0</v>
      </c>
      <c r="AL9" s="78">
        <f t="shared" ref="AL9:AL14" si="18">$AK9+$AE9</f>
        <v>0</v>
      </c>
      <c r="AM9" s="1"/>
      <c r="AN9" s="1"/>
    </row>
    <row r="10" spans="2:47" ht="8.5" customHeight="1" x14ac:dyDescent="0.35">
      <c r="B10" s="91" t="str">
        <f>B9</f>
        <v>projekt/delegacja</v>
      </c>
      <c r="C10" s="92"/>
      <c r="D10" s="58"/>
      <c r="E10" s="80"/>
      <c r="F10" s="80"/>
      <c r="G10" s="80"/>
      <c r="H10" s="83"/>
      <c r="I10" s="86">
        <f t="shared" si="9"/>
        <v>0</v>
      </c>
      <c r="J10" s="64">
        <f t="shared" si="14"/>
        <v>0</v>
      </c>
      <c r="K10" s="58"/>
      <c r="L10" s="80"/>
      <c r="M10" s="80"/>
      <c r="N10" s="80"/>
      <c r="O10" s="83"/>
      <c r="P10" s="86">
        <f t="shared" si="10"/>
        <v>0</v>
      </c>
      <c r="Q10" s="64">
        <f t="shared" si="15"/>
        <v>0</v>
      </c>
      <c r="R10" s="58"/>
      <c r="S10" s="59"/>
      <c r="T10" s="59"/>
      <c r="U10" s="59"/>
      <c r="V10" s="60"/>
      <c r="W10" s="86">
        <f t="shared" si="11"/>
        <v>0</v>
      </c>
      <c r="X10" s="64">
        <f t="shared" si="16"/>
        <v>0</v>
      </c>
      <c r="Y10" s="58"/>
      <c r="Z10" s="59"/>
      <c r="AA10" s="59"/>
      <c r="AB10" s="59"/>
      <c r="AC10" s="60"/>
      <c r="AD10" s="86">
        <f t="shared" si="12"/>
        <v>0</v>
      </c>
      <c r="AE10" s="64">
        <f t="shared" si="17"/>
        <v>0</v>
      </c>
      <c r="AF10" s="58"/>
      <c r="AG10" s="59"/>
      <c r="AH10" s="59"/>
      <c r="AI10" s="59"/>
      <c r="AJ10" s="60"/>
      <c r="AK10" s="86">
        <f t="shared" si="13"/>
        <v>0</v>
      </c>
      <c r="AL10" s="78">
        <f t="shared" si="18"/>
        <v>0</v>
      </c>
      <c r="AM10" s="1"/>
      <c r="AN10" s="1"/>
    </row>
    <row r="11" spans="2:47" ht="9.5" customHeight="1" x14ac:dyDescent="0.35">
      <c r="B11" s="93" t="str">
        <f>PROPER("WYDZIAŁOWE")&amp;LOWER(" - INNE PRACE ZLECONE PRZEZ KIEROWNIKA")</f>
        <v>Wydziałowe - inne prace zlecone przez kierownika</v>
      </c>
      <c r="C11" s="53"/>
      <c r="D11" s="58"/>
      <c r="E11" s="80"/>
      <c r="F11" s="80"/>
      <c r="G11" s="80"/>
      <c r="H11" s="83"/>
      <c r="I11" s="86">
        <f>SUM(D11:H11)</f>
        <v>0</v>
      </c>
      <c r="J11" s="64">
        <f t="shared" si="14"/>
        <v>0</v>
      </c>
      <c r="K11" s="58"/>
      <c r="L11" s="80"/>
      <c r="M11" s="80"/>
      <c r="N11" s="80"/>
      <c r="O11" s="83"/>
      <c r="P11" s="86">
        <f t="shared" si="10"/>
        <v>0</v>
      </c>
      <c r="Q11" s="64">
        <f t="shared" si="15"/>
        <v>0</v>
      </c>
      <c r="R11" s="58"/>
      <c r="S11" s="59"/>
      <c r="T11" s="59"/>
      <c r="U11" s="59"/>
      <c r="V11" s="60"/>
      <c r="W11" s="86">
        <f t="shared" si="11"/>
        <v>0</v>
      </c>
      <c r="X11" s="64">
        <f t="shared" si="16"/>
        <v>0</v>
      </c>
      <c r="Y11" s="58"/>
      <c r="Z11" s="59"/>
      <c r="AA11" s="59"/>
      <c r="AB11" s="59"/>
      <c r="AC11" s="60"/>
      <c r="AD11" s="86">
        <f t="shared" si="12"/>
        <v>0</v>
      </c>
      <c r="AE11" s="64">
        <f>$AD11+$X11</f>
        <v>0</v>
      </c>
      <c r="AF11" s="58"/>
      <c r="AG11" s="59"/>
      <c r="AH11" s="59"/>
      <c r="AI11" s="59"/>
      <c r="AJ11" s="60"/>
      <c r="AK11" s="86">
        <f t="shared" si="13"/>
        <v>0</v>
      </c>
      <c r="AL11" s="78">
        <f t="shared" si="18"/>
        <v>0</v>
      </c>
      <c r="AM11" s="1"/>
      <c r="AN11" s="1"/>
    </row>
    <row r="12" spans="2:47" ht="15.5" customHeight="1" x14ac:dyDescent="0.35">
      <c r="B12" s="88" t="s">
        <v>11</v>
      </c>
      <c r="C12" s="53"/>
      <c r="D12" s="58"/>
      <c r="E12" s="80"/>
      <c r="F12" s="80"/>
      <c r="G12" s="80"/>
      <c r="H12" s="83"/>
      <c r="I12" s="86">
        <f t="shared" si="9"/>
        <v>0</v>
      </c>
      <c r="J12" s="64">
        <f>$I12</f>
        <v>0</v>
      </c>
      <c r="K12" s="58"/>
      <c r="L12" s="80"/>
      <c r="M12" s="80"/>
      <c r="N12" s="80"/>
      <c r="O12" s="83"/>
      <c r="P12" s="86">
        <f t="shared" si="10"/>
        <v>0</v>
      </c>
      <c r="Q12" s="64">
        <f t="shared" si="15"/>
        <v>0</v>
      </c>
      <c r="R12" s="58"/>
      <c r="S12" s="59"/>
      <c r="T12" s="59"/>
      <c r="U12" s="59"/>
      <c r="V12" s="60"/>
      <c r="W12" s="86">
        <f t="shared" si="11"/>
        <v>0</v>
      </c>
      <c r="X12" s="64">
        <f t="shared" si="16"/>
        <v>0</v>
      </c>
      <c r="Y12" s="58"/>
      <c r="Z12" s="59"/>
      <c r="AA12" s="59"/>
      <c r="AB12" s="59"/>
      <c r="AC12" s="60"/>
      <c r="AD12" s="86">
        <f t="shared" si="12"/>
        <v>0</v>
      </c>
      <c r="AE12" s="64">
        <f>$AD12+$X12</f>
        <v>0</v>
      </c>
      <c r="AF12" s="58"/>
      <c r="AG12" s="59"/>
      <c r="AH12" s="59"/>
      <c r="AI12" s="59"/>
      <c r="AJ12" s="60"/>
      <c r="AK12" s="86">
        <f t="shared" si="13"/>
        <v>0</v>
      </c>
      <c r="AL12" s="78">
        <f t="shared" si="18"/>
        <v>0</v>
      </c>
      <c r="AM12" s="1"/>
      <c r="AN12" s="1"/>
    </row>
    <row r="13" spans="2:47" ht="10.5" customHeight="1" x14ac:dyDescent="0.35">
      <c r="B13" s="54" t="str">
        <f>PROPER("urlop wypoczynkowy")</f>
        <v>Urlop Wypoczynkowy</v>
      </c>
      <c r="C13" s="53"/>
      <c r="D13" s="58"/>
      <c r="E13" s="80"/>
      <c r="F13" s="80"/>
      <c r="G13" s="80"/>
      <c r="H13" s="83"/>
      <c r="I13" s="86">
        <f t="shared" si="9"/>
        <v>0</v>
      </c>
      <c r="J13" s="64">
        <f t="shared" si="14"/>
        <v>0</v>
      </c>
      <c r="K13" s="58"/>
      <c r="L13" s="80"/>
      <c r="M13" s="80"/>
      <c r="N13" s="80"/>
      <c r="O13" s="83"/>
      <c r="P13" s="86">
        <f t="shared" si="10"/>
        <v>0</v>
      </c>
      <c r="Q13" s="64">
        <f t="shared" si="15"/>
        <v>0</v>
      </c>
      <c r="R13" s="58"/>
      <c r="S13" s="59"/>
      <c r="T13" s="59"/>
      <c r="U13" s="59"/>
      <c r="V13" s="60"/>
      <c r="W13" s="86">
        <f t="shared" si="11"/>
        <v>0</v>
      </c>
      <c r="X13" s="64">
        <f t="shared" si="16"/>
        <v>0</v>
      </c>
      <c r="Y13" s="58"/>
      <c r="Z13" s="59"/>
      <c r="AA13" s="59"/>
      <c r="AB13" s="59"/>
      <c r="AC13" s="60"/>
      <c r="AD13" s="86">
        <f>SUM(Y13:AC13)</f>
        <v>0</v>
      </c>
      <c r="AE13" s="64">
        <f t="shared" si="17"/>
        <v>0</v>
      </c>
      <c r="AF13" s="58"/>
      <c r="AG13" s="59"/>
      <c r="AH13" s="59"/>
      <c r="AI13" s="59"/>
      <c r="AJ13" s="60"/>
      <c r="AK13" s="86">
        <f t="shared" si="13"/>
        <v>0</v>
      </c>
      <c r="AL13" s="78">
        <f t="shared" si="18"/>
        <v>0</v>
      </c>
      <c r="AM13" s="1"/>
      <c r="AN13" s="1"/>
    </row>
    <row r="14" spans="2:47" ht="11.5" customHeight="1" thickBot="1" x14ac:dyDescent="0.4">
      <c r="B14" s="55" t="str">
        <f>PROPER("szkolenia / konferencje")</f>
        <v>Szkolenia / Konferencje</v>
      </c>
      <c r="C14" s="89"/>
      <c r="D14" s="61"/>
      <c r="E14" s="101"/>
      <c r="F14" s="62"/>
      <c r="G14" s="62"/>
      <c r="H14" s="63"/>
      <c r="I14" s="90">
        <f t="shared" si="9"/>
        <v>0</v>
      </c>
      <c r="J14" s="100">
        <f t="shared" si="14"/>
        <v>0</v>
      </c>
      <c r="K14" s="99"/>
      <c r="L14" s="84"/>
      <c r="M14" s="84"/>
      <c r="N14" s="84"/>
      <c r="O14" s="85"/>
      <c r="P14" s="86">
        <f t="shared" si="10"/>
        <v>0</v>
      </c>
      <c r="Q14" s="65">
        <f t="shared" si="15"/>
        <v>0</v>
      </c>
      <c r="R14" s="61"/>
      <c r="S14" s="62"/>
      <c r="T14" s="62"/>
      <c r="U14" s="62"/>
      <c r="V14" s="98"/>
      <c r="W14" s="86">
        <f t="shared" si="11"/>
        <v>0</v>
      </c>
      <c r="X14" s="65">
        <f t="shared" si="16"/>
        <v>0</v>
      </c>
      <c r="Y14" s="61"/>
      <c r="Z14" s="62"/>
      <c r="AA14" s="62"/>
      <c r="AB14" s="62"/>
      <c r="AC14" s="63"/>
      <c r="AD14" s="86">
        <f t="shared" si="12"/>
        <v>0</v>
      </c>
      <c r="AE14" s="65">
        <f t="shared" si="17"/>
        <v>0</v>
      </c>
      <c r="AF14" s="61"/>
      <c r="AG14" s="62"/>
      <c r="AH14" s="62"/>
      <c r="AI14" s="62"/>
      <c r="AJ14" s="63"/>
      <c r="AK14" s="86">
        <f t="shared" si="13"/>
        <v>0</v>
      </c>
      <c r="AL14" s="79">
        <f t="shared" si="18"/>
        <v>0</v>
      </c>
      <c r="AM14" s="1"/>
      <c r="AN14" s="1"/>
    </row>
    <row r="15" spans="2:47" ht="13" customHeight="1" thickTop="1" thickBot="1" x14ac:dyDescent="0.4">
      <c r="B15" s="11"/>
      <c r="C15" s="1"/>
      <c r="D15" s="115"/>
      <c r="E15" s="116"/>
      <c r="F15" s="116"/>
      <c r="G15" s="116"/>
      <c r="H15" s="116"/>
      <c r="I15" s="116"/>
      <c r="J15" s="117"/>
      <c r="K15" s="140"/>
      <c r="L15" s="141"/>
      <c r="M15" s="141"/>
      <c r="N15" s="141"/>
      <c r="O15" s="141"/>
      <c r="P15" s="141"/>
      <c r="Q15" s="142"/>
      <c r="R15" s="140"/>
      <c r="S15" s="141"/>
      <c r="T15" s="141"/>
      <c r="U15" s="141"/>
      <c r="V15" s="141"/>
      <c r="W15" s="141"/>
      <c r="X15" s="142"/>
      <c r="Y15" s="143"/>
      <c r="Z15" s="144"/>
      <c r="AA15" s="144"/>
      <c r="AB15" s="144"/>
      <c r="AC15" s="144"/>
      <c r="AD15" s="144"/>
      <c r="AE15" s="145"/>
      <c r="AF15" s="146"/>
      <c r="AG15" s="147"/>
      <c r="AH15" s="147"/>
      <c r="AI15" s="147"/>
      <c r="AJ15" s="147"/>
      <c r="AK15" s="147"/>
      <c r="AL15" s="148"/>
      <c r="AM15" s="1"/>
      <c r="AN15" s="1"/>
    </row>
    <row r="16" spans="2:47" ht="29.5" customHeight="1" thickTop="1" thickBot="1" x14ac:dyDescent="0.4">
      <c r="B16" s="44" t="str">
        <f>LOWER("∑ godz. w tygodniu")</f>
        <v>∑ godz. w tygodniu</v>
      </c>
      <c r="C16" s="45"/>
      <c r="D16" s="45"/>
      <c r="E16" s="45"/>
      <c r="F16" s="45"/>
      <c r="G16" s="45"/>
      <c r="H16" s="45"/>
      <c r="I16" s="106">
        <f>SUM($I8:$I14)</f>
        <v>0</v>
      </c>
      <c r="J16" s="107"/>
      <c r="K16" s="46"/>
      <c r="L16" s="46"/>
      <c r="M16" s="46"/>
      <c r="N16" s="46"/>
      <c r="O16" s="47"/>
      <c r="P16" s="106">
        <f>SUM($P8:$P14)</f>
        <v>0</v>
      </c>
      <c r="Q16" s="107"/>
      <c r="R16" s="45"/>
      <c r="S16" s="45"/>
      <c r="T16" s="45"/>
      <c r="U16" s="45"/>
      <c r="V16" s="45"/>
      <c r="W16" s="106">
        <f>SUM($W8:$W14)</f>
        <v>0</v>
      </c>
      <c r="X16" s="107"/>
      <c r="Y16" s="45"/>
      <c r="Z16" s="45"/>
      <c r="AA16" s="45"/>
      <c r="AB16" s="45"/>
      <c r="AC16" s="45"/>
      <c r="AD16" s="106">
        <f>SUM($AD8:$AD14)</f>
        <v>0</v>
      </c>
      <c r="AE16" s="107"/>
      <c r="AF16" s="45"/>
      <c r="AG16" s="45"/>
      <c r="AH16" s="45"/>
      <c r="AI16" s="45"/>
      <c r="AJ16" s="45"/>
      <c r="AK16" s="106">
        <f>SUM($AK8:$AK14)</f>
        <v>0</v>
      </c>
      <c r="AL16" s="107"/>
      <c r="AM16" s="1"/>
      <c r="AN16" s="1"/>
    </row>
    <row r="17" spans="2:40" ht="29.5" thickBot="1" x14ac:dyDescent="0.4">
      <c r="B17" s="48" t="str">
        <f>LOWER("∑ godz. bieżącego tyg.
 i Poprzednich Tyg.")</f>
        <v>∑ godz. bieżącego tyg.
 i poprzednich tyg.</v>
      </c>
      <c r="C17" s="49"/>
      <c r="D17" s="49"/>
      <c r="E17" s="49"/>
      <c r="F17" s="49"/>
      <c r="G17" s="49"/>
      <c r="H17" s="49"/>
      <c r="I17" s="49"/>
      <c r="J17" s="87">
        <f>SUM(J$8:J$14)</f>
        <v>0</v>
      </c>
      <c r="K17" s="49"/>
      <c r="L17" s="49"/>
      <c r="M17" s="49"/>
      <c r="N17" s="49"/>
      <c r="O17" s="49"/>
      <c r="P17" s="49"/>
      <c r="Q17" s="87">
        <f>SUM(Q$8:Q$14)</f>
        <v>0</v>
      </c>
      <c r="R17" s="49"/>
      <c r="S17" s="49"/>
      <c r="T17" s="49"/>
      <c r="U17" s="49"/>
      <c r="V17" s="49"/>
      <c r="W17" s="49"/>
      <c r="X17" s="87">
        <f>SUM(X$8:X$14)</f>
        <v>0</v>
      </c>
      <c r="Y17" s="49"/>
      <c r="Z17" s="49"/>
      <c r="AA17" s="49"/>
      <c r="AB17" s="49"/>
      <c r="AC17" s="49"/>
      <c r="AD17" s="49"/>
      <c r="AE17" s="87">
        <f>SUM(AE$8:AE$14)</f>
        <v>0</v>
      </c>
      <c r="AF17" s="49"/>
      <c r="AG17" s="49"/>
      <c r="AH17" s="49"/>
      <c r="AI17" s="49"/>
      <c r="AJ17" s="49"/>
      <c r="AK17" s="49"/>
      <c r="AL17" s="95">
        <f>SUM(AL$8:AL$14)</f>
        <v>0</v>
      </c>
      <c r="AM17" s="1"/>
      <c r="AN17" s="1"/>
    </row>
    <row r="18" spans="2:40" ht="3.5" customHeight="1" thickTop="1" x14ac:dyDescent="0.3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2:40" x14ac:dyDescent="0.35">
      <c r="B19" s="105" t="str">
        <f>"*VBA script was written based on framework from book:""Excel z elementami VBA w firmie"" - Sergiusz Flanczewski."</f>
        <v>*VBA script was written based on framework from book:"Excel z elementami VBA w firmie" - Sergiusz Flanczewski.</v>
      </c>
      <c r="C19" s="105"/>
      <c r="D19" s="105"/>
      <c r="E19" s="105"/>
      <c r="F19" s="105"/>
      <c r="G19" s="105"/>
      <c r="H19" s="105"/>
      <c r="I19" s="10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2:40" ht="9.5" customHeight="1" x14ac:dyDescent="0.35">
      <c r="B20" s="12" t="s">
        <v>5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2:40" ht="13.5" customHeight="1" x14ac:dyDescent="0.3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</sheetData>
  <sheetProtection formatCells="0" insertHyperlinks="0" sort="0" autoFilter="0"/>
  <protectedRanges>
    <protectedRange sqref="D6" name="Rozstęp1"/>
  </protectedRanges>
  <customSheetViews>
    <customSheetView guid="{3646626E-4B88-4272-A620-205A05EFC2A4}" showPageBreaks="1" printArea="1" view="pageBreakPreview">
      <pane xSplit="3" ySplit="6" topLeftCell="D7" activePane="bottomRight" state="frozen"/>
      <selection pane="bottomRight" activeCell="D6" sqref="D6"/>
      <pageMargins left="0.7" right="0.7" top="0.75" bottom="0.75" header="0.3" footer="0.3"/>
      <pageSetup paperSize="9" scale="34" orientation="portrait" r:id="rId1"/>
    </customSheetView>
  </customSheetViews>
  <mergeCells count="25">
    <mergeCell ref="AK16:AL16"/>
    <mergeCell ref="L3:P3"/>
    <mergeCell ref="AE3:AF3"/>
    <mergeCell ref="AG3:AH3"/>
    <mergeCell ref="Y3:AD3"/>
    <mergeCell ref="AI3:AK3"/>
    <mergeCell ref="AF5:AL5"/>
    <mergeCell ref="R15:X15"/>
    <mergeCell ref="K15:Q15"/>
    <mergeCell ref="Y15:AE15"/>
    <mergeCell ref="AF15:AL15"/>
    <mergeCell ref="P16:Q16"/>
    <mergeCell ref="W16:X16"/>
    <mergeCell ref="AD16:AE16"/>
    <mergeCell ref="V3:X3"/>
    <mergeCell ref="Q3:T3"/>
    <mergeCell ref="Y5:AE5"/>
    <mergeCell ref="B19:I19"/>
    <mergeCell ref="I16:J16"/>
    <mergeCell ref="D4:F4"/>
    <mergeCell ref="D3:F3"/>
    <mergeCell ref="R5:X5"/>
    <mergeCell ref="D15:J15"/>
    <mergeCell ref="D5:J5"/>
    <mergeCell ref="K5:Q5"/>
  </mergeCells>
  <conditionalFormatting sqref="J6">
    <cfRule type="timePeriod" dxfId="23" priority="403" stopIfTrue="1" timePeriod="lastWeek">
      <formula>AND(TODAY()-ROUNDDOWN(J6,0)&gt;=(WEEKDAY(TODAY())),TODAY()-ROUNDDOWN(J6,0)&lt;(WEEKDAY(TODAY())+7))</formula>
    </cfRule>
  </conditionalFormatting>
  <conditionalFormatting sqref="AK6">
    <cfRule type="timePeriod" dxfId="22" priority="273" stopIfTrue="1" timePeriod="lastWeek">
      <formula>AND(TODAY()-ROUNDDOWN(AK6,0)&gt;=(WEEKDAY(TODAY())),TODAY()-ROUNDDOWN(AK6,0)&lt;(WEEKDAY(TODAY())+7))</formula>
    </cfRule>
  </conditionalFormatting>
  <conditionalFormatting sqref="P6">
    <cfRule type="timePeriod" dxfId="21" priority="276" stopIfTrue="1" timePeriod="lastWeek">
      <formula>AND(TODAY()-ROUNDDOWN(P6,0)&gt;=(WEEKDAY(TODAY())),TODAY()-ROUNDDOWN(P6,0)&lt;(WEEKDAY(TODAY())+7))</formula>
    </cfRule>
  </conditionalFormatting>
  <conditionalFormatting sqref="W6">
    <cfRule type="timePeriod" dxfId="20" priority="275" stopIfTrue="1" timePeriod="lastWeek">
      <formula>AND(TODAY()-ROUNDDOWN(W6,0)&gt;=(WEEKDAY(TODAY())),TODAY()-ROUNDDOWN(W6,0)&lt;(WEEKDAY(TODAY())+7))</formula>
    </cfRule>
  </conditionalFormatting>
  <conditionalFormatting sqref="AD6">
    <cfRule type="timePeriod" dxfId="19" priority="274" stopIfTrue="1" timePeriod="lastWeek">
      <formula>AND(TODAY()-ROUNDDOWN(AD6,0)&gt;=(WEEKDAY(TODAY())),TODAY()-ROUNDDOWN(AD6,0)&lt;(WEEKDAY(TODAY())+7))</formula>
    </cfRule>
  </conditionalFormatting>
  <conditionalFormatting sqref="W16">
    <cfRule type="colorScale" priority="254">
      <colorScale>
        <cfvo type="num" val="1.5833333329999999"/>
        <cfvo type="num" val="1.6666666670000001"/>
        <cfvo type="num" val="1.7916666666666667"/>
        <color theme="0"/>
        <color rgb="FF00B050"/>
        <color theme="1"/>
      </colorScale>
    </cfRule>
  </conditionalFormatting>
  <conditionalFormatting sqref="AD16">
    <cfRule type="colorScale" priority="242">
      <colorScale>
        <cfvo type="num" val="1.5833333333333333"/>
        <cfvo type="num" val="1.6666666666666667"/>
        <cfvo type="num" val="1.7916666666666667"/>
        <color theme="0"/>
        <color rgb="FF00B050"/>
        <color theme="1"/>
      </colorScale>
    </cfRule>
  </conditionalFormatting>
  <conditionalFormatting sqref="I16">
    <cfRule type="colorScale" priority="230">
      <colorScale>
        <cfvo type="num" val="1.5833333329999999"/>
        <cfvo type="num" val="1.6666666670000001"/>
        <cfvo type="num" val="1.7916666666666667"/>
        <color theme="0"/>
        <color rgb="FF00B050"/>
        <color theme="1"/>
      </colorScale>
    </cfRule>
  </conditionalFormatting>
  <conditionalFormatting sqref="Q6">
    <cfRule type="timePeriod" dxfId="18" priority="229" stopIfTrue="1" timePeriod="lastWeek">
      <formula>AND(TODAY()-ROUNDDOWN(Q6,0)&gt;=(WEEKDAY(TODAY())),TODAY()-ROUNDDOWN(Q6,0)&lt;(WEEKDAY(TODAY())+7))</formula>
    </cfRule>
  </conditionalFormatting>
  <conditionalFormatting sqref="X6">
    <cfRule type="timePeriod" dxfId="17" priority="225" stopIfTrue="1" timePeriod="lastWeek">
      <formula>AND(TODAY()-ROUNDDOWN(X6,0)&gt;=(WEEKDAY(TODAY())),TODAY()-ROUNDDOWN(X6,0)&lt;(WEEKDAY(TODAY())+7))</formula>
    </cfRule>
  </conditionalFormatting>
  <conditionalFormatting sqref="AE6">
    <cfRule type="timePeriod" dxfId="16" priority="224" stopIfTrue="1" timePeriod="lastWeek">
      <formula>AND(TODAY()-ROUNDDOWN(AE6,0)&gt;=(WEEKDAY(TODAY())),TODAY()-ROUNDDOWN(AE6,0)&lt;(WEEKDAY(TODAY())+7))</formula>
    </cfRule>
  </conditionalFormatting>
  <conditionalFormatting sqref="AL6">
    <cfRule type="timePeriod" dxfId="15" priority="223" stopIfTrue="1" timePeriod="lastWeek">
      <formula>AND(TODAY()-ROUNDDOWN(AL6,0)&gt;=(WEEKDAY(TODAY())),TODAY()-ROUNDDOWN(AL6,0)&lt;(WEEKDAY(TODAY())+7))</formula>
    </cfRule>
  </conditionalFormatting>
  <conditionalFormatting sqref="I8:I14">
    <cfRule type="colorScale" priority="219">
      <colorScale>
        <cfvo type="num" val="0"/>
        <cfvo type="num" val="40"/>
        <cfvo type="num" val="43"/>
        <color theme="4" tint="0.79998168889431442"/>
        <color theme="4" tint="0.59999389629810485"/>
        <color theme="4" tint="0.39997558519241921"/>
      </colorScale>
    </cfRule>
  </conditionalFormatting>
  <conditionalFormatting sqref="D7">
    <cfRule type="colorScale" priority="209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210">
      <iconSet iconSet="3Symbols2">
        <cfvo type="percent" val="0"/>
        <cfvo type="num" val="7"/>
        <cfvo type="num" val="8"/>
      </iconSet>
    </cfRule>
  </conditionalFormatting>
  <conditionalFormatting sqref="E7:H7">
    <cfRule type="colorScale" priority="197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198">
      <iconSet iconSet="3Symbols2">
        <cfvo type="percent" val="0"/>
        <cfvo type="num" val="7"/>
        <cfvo type="num" val="8"/>
      </iconSet>
    </cfRule>
  </conditionalFormatting>
  <conditionalFormatting sqref="B7">
    <cfRule type="colorScale" priority="174">
      <colorScale>
        <cfvo type="min"/>
        <cfvo type="max"/>
        <color rgb="FFF8696B"/>
        <color rgb="FFFCFCFF"/>
      </colorScale>
    </cfRule>
    <cfRule type="expression" dxfId="14" priority="175">
      <formula>$H$6="red"</formula>
    </cfRule>
  </conditionalFormatting>
  <conditionalFormatting sqref="C6">
    <cfRule type="colorScale" priority="172">
      <colorScale>
        <cfvo type="min"/>
        <cfvo type="max"/>
        <color rgb="FFF8696B"/>
        <color rgb="FFFCFCFF"/>
      </colorScale>
    </cfRule>
    <cfRule type="expression" dxfId="13" priority="173">
      <formula>$H$6="red"</formula>
    </cfRule>
  </conditionalFormatting>
  <conditionalFormatting sqref="C5">
    <cfRule type="colorScale" priority="150">
      <colorScale>
        <cfvo type="min"/>
        <cfvo type="max"/>
        <color rgb="FFF8696B"/>
        <color rgb="FFFCFCFF"/>
      </colorScale>
    </cfRule>
    <cfRule type="expression" dxfId="12" priority="151">
      <formula>$H$6="red"</formula>
    </cfRule>
  </conditionalFormatting>
  <conditionalFormatting sqref="C7">
    <cfRule type="colorScale" priority="148">
      <colorScale>
        <cfvo type="min"/>
        <cfvo type="max"/>
        <color rgb="FFF8696B"/>
        <color rgb="FFFCFCFF"/>
      </colorScale>
    </cfRule>
    <cfRule type="expression" dxfId="11" priority="149">
      <formula>$H$6="red"</formula>
    </cfRule>
  </conditionalFormatting>
  <conditionalFormatting sqref="I6">
    <cfRule type="timePeriod" dxfId="10" priority="94" stopIfTrue="1" timePeriod="lastWeek">
      <formula>AND(TODAY()-ROUNDDOWN(I6,0)&gt;=(WEEKDAY(TODAY())),TODAY()-ROUNDDOWN(I6,0)&lt;(WEEKDAY(TODAY())+7))</formula>
    </cfRule>
  </conditionalFormatting>
  <conditionalFormatting sqref="AD7">
    <cfRule type="colorScale" priority="60">
      <colorScale>
        <cfvo type="min"/>
        <cfvo type="max"/>
        <color rgb="FFF8696B"/>
        <color rgb="FFFCFCFF"/>
      </colorScale>
    </cfRule>
    <cfRule type="expression" dxfId="9" priority="61">
      <formula>$H$6="red"</formula>
    </cfRule>
  </conditionalFormatting>
  <conditionalFormatting sqref="AE7">
    <cfRule type="colorScale" priority="58">
      <colorScale>
        <cfvo type="min"/>
        <cfvo type="max"/>
        <color rgb="FFF8696B"/>
        <color rgb="FFFCFCFF"/>
      </colorScale>
    </cfRule>
    <cfRule type="expression" dxfId="8" priority="59">
      <formula>$H$6="red"</formula>
    </cfRule>
  </conditionalFormatting>
  <conditionalFormatting sqref="AK7">
    <cfRule type="colorScale" priority="48">
      <colorScale>
        <cfvo type="min"/>
        <cfvo type="max"/>
        <color rgb="FFF8696B"/>
        <color rgb="FFFCFCFF"/>
      </colorScale>
    </cfRule>
    <cfRule type="expression" dxfId="7" priority="49">
      <formula>$H$6="red"</formula>
    </cfRule>
  </conditionalFormatting>
  <conditionalFormatting sqref="AL7">
    <cfRule type="colorScale" priority="46">
      <colorScale>
        <cfvo type="min"/>
        <cfvo type="max"/>
        <color rgb="FFF8696B"/>
        <color rgb="FFFCFCFF"/>
      </colorScale>
    </cfRule>
    <cfRule type="expression" dxfId="6" priority="47">
      <formula>$H$6="red"</formula>
    </cfRule>
  </conditionalFormatting>
  <conditionalFormatting sqref="W7">
    <cfRule type="colorScale" priority="40">
      <colorScale>
        <cfvo type="min"/>
        <cfvo type="max"/>
        <color rgb="FFF8696B"/>
        <color rgb="FFFCFCFF"/>
      </colorScale>
    </cfRule>
    <cfRule type="expression" dxfId="5" priority="41">
      <formula>$H$6="red"</formula>
    </cfRule>
  </conditionalFormatting>
  <conditionalFormatting sqref="X7">
    <cfRule type="colorScale" priority="38">
      <colorScale>
        <cfvo type="min"/>
        <cfvo type="max"/>
        <color rgb="FFF8696B"/>
        <color rgb="FFFCFCFF"/>
      </colorScale>
    </cfRule>
    <cfRule type="expression" dxfId="4" priority="39">
      <formula>$H$6="red"</formula>
    </cfRule>
  </conditionalFormatting>
  <conditionalFormatting sqref="P7">
    <cfRule type="colorScale" priority="36">
      <colorScale>
        <cfvo type="min"/>
        <cfvo type="max"/>
        <color rgb="FFF8696B"/>
        <color rgb="FFFCFCFF"/>
      </colorScale>
    </cfRule>
    <cfRule type="expression" dxfId="3" priority="37">
      <formula>$H$6="red"</formula>
    </cfRule>
  </conditionalFormatting>
  <conditionalFormatting sqref="Q7">
    <cfRule type="colorScale" priority="34">
      <colorScale>
        <cfvo type="min"/>
        <cfvo type="max"/>
        <color rgb="FFF8696B"/>
        <color rgb="FFFCFCFF"/>
      </colorScale>
    </cfRule>
    <cfRule type="expression" dxfId="2" priority="35">
      <formula>$H$6="red"</formula>
    </cfRule>
  </conditionalFormatting>
  <conditionalFormatting sqref="I7">
    <cfRule type="colorScale" priority="32">
      <colorScale>
        <cfvo type="min"/>
        <cfvo type="max"/>
        <color rgb="FFF8696B"/>
        <color rgb="FFFCFCFF"/>
      </colorScale>
    </cfRule>
    <cfRule type="expression" dxfId="1" priority="33">
      <formula>$H$6="red"</formula>
    </cfRule>
  </conditionalFormatting>
  <conditionalFormatting sqref="J7">
    <cfRule type="colorScale" priority="30">
      <colorScale>
        <cfvo type="min"/>
        <cfvo type="max"/>
        <color rgb="FFF8696B"/>
        <color rgb="FFFCFCFF"/>
      </colorScale>
    </cfRule>
    <cfRule type="expression" dxfId="0" priority="31">
      <formula>$H$6="red"</formula>
    </cfRule>
  </conditionalFormatting>
  <conditionalFormatting sqref="K7">
    <cfRule type="colorScale" priority="28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29">
      <iconSet iconSet="3Symbols2">
        <cfvo type="percent" val="0"/>
        <cfvo type="num" val="7"/>
        <cfvo type="num" val="8"/>
      </iconSet>
    </cfRule>
  </conditionalFormatting>
  <conditionalFormatting sqref="L7:O7">
    <cfRule type="colorScale" priority="26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27">
      <iconSet iconSet="3Symbols2">
        <cfvo type="percent" val="0"/>
        <cfvo type="num" val="7"/>
        <cfvo type="num" val="8"/>
      </iconSet>
    </cfRule>
  </conditionalFormatting>
  <conditionalFormatting sqref="R7">
    <cfRule type="colorScale" priority="24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25">
      <iconSet iconSet="3Symbols2">
        <cfvo type="percent" val="0"/>
        <cfvo type="num" val="7"/>
        <cfvo type="num" val="8"/>
      </iconSet>
    </cfRule>
  </conditionalFormatting>
  <conditionalFormatting sqref="S7:V7">
    <cfRule type="colorScale" priority="22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23">
      <iconSet iconSet="3Symbols2">
        <cfvo type="percent" val="0"/>
        <cfvo type="num" val="7"/>
        <cfvo type="num" val="8"/>
      </iconSet>
    </cfRule>
  </conditionalFormatting>
  <conditionalFormatting sqref="Y7">
    <cfRule type="colorScale" priority="20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21">
      <iconSet iconSet="3Symbols2">
        <cfvo type="percent" val="0"/>
        <cfvo type="num" val="7"/>
        <cfvo type="num" val="8"/>
      </iconSet>
    </cfRule>
  </conditionalFormatting>
  <conditionalFormatting sqref="Z7:AC7">
    <cfRule type="colorScale" priority="18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19">
      <iconSet iconSet="3Symbols2">
        <cfvo type="percent" val="0"/>
        <cfvo type="num" val="7"/>
        <cfvo type="num" val="8"/>
      </iconSet>
    </cfRule>
  </conditionalFormatting>
  <conditionalFormatting sqref="AF7">
    <cfRule type="colorScale" priority="16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17">
      <iconSet iconSet="3Symbols2">
        <cfvo type="percent" val="0"/>
        <cfvo type="num" val="7"/>
        <cfvo type="num" val="8"/>
      </iconSet>
    </cfRule>
  </conditionalFormatting>
  <conditionalFormatting sqref="AG7:AJ7">
    <cfRule type="colorScale" priority="14">
      <colorScale>
        <cfvo type="num" val="0"/>
        <cfvo type="percentile" val="8"/>
        <cfvo type="num" val="10"/>
        <color theme="5"/>
        <color rgb="FF00B050"/>
        <color theme="1" tint="0.249977111117893"/>
      </colorScale>
    </cfRule>
    <cfRule type="iconSet" priority="15">
      <iconSet iconSet="3Symbols2">
        <cfvo type="percent" val="0"/>
        <cfvo type="num" val="7"/>
        <cfvo type="num" val="8"/>
      </iconSet>
    </cfRule>
  </conditionalFormatting>
  <conditionalFormatting sqref="P8:P14">
    <cfRule type="colorScale" priority="12">
      <colorScale>
        <cfvo type="num" val="0"/>
        <cfvo type="num" val="40"/>
        <cfvo type="num" val="43"/>
        <color theme="4" tint="0.79998168889431442"/>
        <color theme="4" tint="0.59999389629810485"/>
        <color theme="4" tint="0.39997558519241921"/>
      </colorScale>
    </cfRule>
  </conditionalFormatting>
  <conditionalFormatting sqref="W8:W14">
    <cfRule type="colorScale" priority="11">
      <colorScale>
        <cfvo type="num" val="0"/>
        <cfvo type="num" val="40"/>
        <cfvo type="num" val="43"/>
        <color theme="4" tint="0.79998168889431442"/>
        <color theme="4" tint="0.59999389629810485"/>
        <color theme="4" tint="0.39997558519241921"/>
      </colorScale>
    </cfRule>
  </conditionalFormatting>
  <conditionalFormatting sqref="AD8:AD14">
    <cfRule type="colorScale" priority="10">
      <colorScale>
        <cfvo type="num" val="0"/>
        <cfvo type="num" val="40"/>
        <cfvo type="num" val="43"/>
        <color theme="4" tint="0.79998168889431442"/>
        <color theme="4" tint="0.59999389629810485"/>
        <color theme="4" tint="0.39997558519241921"/>
      </colorScale>
    </cfRule>
  </conditionalFormatting>
  <conditionalFormatting sqref="AK8:AK14">
    <cfRule type="colorScale" priority="9">
      <colorScale>
        <cfvo type="num" val="0"/>
        <cfvo type="num" val="40"/>
        <cfvo type="num" val="43"/>
        <color theme="4" tint="0.79998168889431442"/>
        <color theme="4" tint="0.59999389629810485"/>
        <color theme="4" tint="0.39997558519241921"/>
      </colorScale>
    </cfRule>
  </conditionalFormatting>
  <conditionalFormatting sqref="P16">
    <cfRule type="colorScale" priority="3">
      <colorScale>
        <cfvo type="num" val="1.5833333329999999"/>
        <cfvo type="num" val="1.6666666670000001"/>
        <cfvo type="num" val="1.7916666670000001"/>
        <color theme="0"/>
        <color rgb="FF00B050"/>
        <color theme="1"/>
      </colorScale>
    </cfRule>
  </conditionalFormatting>
  <conditionalFormatting sqref="AK16">
    <cfRule type="colorScale" priority="1">
      <colorScale>
        <cfvo type="num" val="1.5833333333333333"/>
        <cfvo type="num" val="1.6666666666666667"/>
        <cfvo type="num" val="1.7916666666666667"/>
        <color theme="0"/>
        <color rgb="FF00B050"/>
        <color theme="1"/>
      </colorScale>
    </cfRule>
  </conditionalFormatting>
  <dataValidations count="1">
    <dataValidation type="decimal" allowBlank="1" showInputMessage="1" showErrorMessage="1" sqref="D7">
      <formula1>0</formula1>
      <formula2>12</formula2>
    </dataValidation>
  </dataValidations>
  <hyperlinks>
    <hyperlink ref="B20" r:id="rId2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2" r:id="rId6" name="Button 58">
              <controlPr defaultSize="0" autoFill="0" autoPict="0" macro="[0]!Makro1">
                <anchor moveWithCells="1" sizeWithCells="1">
                  <from>
                    <xdr:col>9</xdr:col>
                    <xdr:colOff>6350</xdr:colOff>
                    <xdr:row>2</xdr:row>
                    <xdr:rowOff>6350</xdr:rowOff>
                  </from>
                  <to>
                    <xdr:col>9</xdr:col>
                    <xdr:colOff>527050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" name="Button 88">
              <controlPr defaultSize="0" print="0" autoFill="0" autoPict="0" macro="[0]!Run_Python_Script">
                <anchor moveWithCells="1" sizeWithCells="1">
                  <from>
                    <xdr:col>6</xdr:col>
                    <xdr:colOff>12700</xdr:colOff>
                    <xdr:row>3</xdr:row>
                    <xdr:rowOff>19050</xdr:rowOff>
                  </from>
                  <to>
                    <xdr:col>15</xdr:col>
                    <xdr:colOff>717550</xdr:colOff>
                    <xdr:row>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" name="Group Box 42">
              <controlPr defaultSize="0" autoFill="0" autoPict="0">
                <anchor moveWithCells="1">
                  <from>
                    <xdr:col>0</xdr:col>
                    <xdr:colOff>69850</xdr:colOff>
                    <xdr:row>1</xdr:row>
                    <xdr:rowOff>0</xdr:rowOff>
                  </from>
                  <to>
                    <xdr:col>38</xdr:col>
                    <xdr:colOff>133350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5" id="{7F272BF3-4166-4C85-9CEA-890A8F354C9A}">
            <x14:iconSet iconSet="3Flags" custom="1">
              <x14:cfvo type="percent">
                <xm:f>0</xm:f>
              </x14:cfvo>
              <x14:cfvo type="num" gte="0">
                <xm:f>40</xm:f>
              </x14:cfvo>
              <x14:cfvo type="num">
                <xm:f>43</xm:f>
              </x14:cfvo>
              <x14:cfIcon iconSet="3Flags" iconId="2"/>
              <x14:cfIcon iconSet="3Flags" iconId="1"/>
              <x14:cfIcon iconSet="3Flags" iconId="0"/>
            </x14:iconSet>
          </x14:cfRule>
          <xm:sqref>W16</xm:sqref>
        </x14:conditionalFormatting>
        <x14:conditionalFormatting xmlns:xm="http://schemas.microsoft.com/office/excel/2006/main">
          <x14:cfRule type="iconSet" priority="243" id="{1A7B4271-17C2-4DD6-A272-705F546F2EAF}">
            <x14:iconSet iconSet="3Flags" custom="1">
              <x14:cfvo type="percent">
                <xm:f>0</xm:f>
              </x14:cfvo>
              <x14:cfvo type="num" gte="0">
                <xm:f>40</xm:f>
              </x14:cfvo>
              <x14:cfvo type="num">
                <xm:f>43</xm:f>
              </x14:cfvo>
              <x14:cfIcon iconSet="3Flags" iconId="2"/>
              <x14:cfIcon iconSet="3Flags" iconId="1"/>
              <x14:cfIcon iconSet="3Flags" iconId="0"/>
            </x14:iconSet>
          </x14:cfRule>
          <xm:sqref>AD16</xm:sqref>
        </x14:conditionalFormatting>
        <x14:conditionalFormatting xmlns:xm="http://schemas.microsoft.com/office/excel/2006/main">
          <x14:cfRule type="iconSet" priority="231" id="{BEB76C40-8AB0-4B9A-B98E-70F841A1E9E3}">
            <x14:iconSet iconSet="3Flags" custom="1">
              <x14:cfvo type="percent">
                <xm:f>0</xm:f>
              </x14:cfvo>
              <x14:cfvo type="num" gte="0">
                <xm:f>40</xm:f>
              </x14:cfvo>
              <x14:cfvo type="num">
                <xm:f>43</xm:f>
              </x14:cfvo>
              <x14:cfIcon iconSet="3Flags" iconId="2"/>
              <x14:cfIcon iconSet="3Flags" iconId="1"/>
              <x14:cfIcon iconSet="3Flags" iconId="0"/>
            </x14:iconSet>
          </x14:cfRule>
          <xm:sqref>I16</xm:sqref>
        </x14:conditionalFormatting>
        <x14:conditionalFormatting xmlns:xm="http://schemas.microsoft.com/office/excel/2006/main">
          <x14:cfRule type="iconSet" priority="4" id="{7C02B0D6-C88A-4EB7-9B11-FC42BCD3B2D8}">
            <x14:iconSet iconSet="3Flags" custom="1">
              <x14:cfvo type="percent">
                <xm:f>0</xm:f>
              </x14:cfvo>
              <x14:cfvo type="num" gte="0">
                <xm:f>40</xm:f>
              </x14:cfvo>
              <x14:cfvo type="num">
                <xm:f>43</xm:f>
              </x14:cfvo>
              <x14:cfIcon iconSet="3Flags" iconId="2"/>
              <x14:cfIcon iconSet="3Flags" iconId="1"/>
              <x14:cfIcon iconSet="3Flags" iconId="0"/>
            </x14:iconSet>
          </x14:cfRule>
          <xm:sqref>P16</xm:sqref>
        </x14:conditionalFormatting>
        <x14:conditionalFormatting xmlns:xm="http://schemas.microsoft.com/office/excel/2006/main">
          <x14:cfRule type="iconSet" priority="2" id="{3868D178-3B1F-4F75-AFFB-0EEAA6267DD0}">
            <x14:iconSet iconSet="3Flags" custom="1">
              <x14:cfvo type="percent">
                <xm:f>0</xm:f>
              </x14:cfvo>
              <x14:cfvo type="num" gte="0">
                <xm:f>40</xm:f>
              </x14:cfvo>
              <x14:cfvo type="num">
                <xm:f>43</xm:f>
              </x14:cfvo>
              <x14:cfIcon iconSet="3Flags" iconId="2"/>
              <x14:cfIcon iconSet="3Flags" iconId="1"/>
              <x14:cfIcon iconSet="3Flags" iconId="0"/>
            </x14:iconSet>
          </x14:cfRule>
          <xm:sqref>AK16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true</tns:showOnOpen>
  <tns:defaultPropertyEditorNamespace>Właściwości standardowe</tns:defaultPropertyEditorNamespace>
</tns:customPropertyEditors>
</file>

<file path=customXml/itemProps1.xml><?xml version="1.0" encoding="utf-8"?>
<ds:datastoreItem xmlns:ds="http://schemas.openxmlformats.org/officeDocument/2006/customXml" ds:itemID="{6C2CBE86-DCAB-4514-9557-FE08ACEDDAF9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1</vt:i4>
      </vt:variant>
    </vt:vector>
  </HeadingPairs>
  <TitlesOfParts>
    <vt:vector size="2" baseType="lpstr">
      <vt:lpstr>June_2023</vt:lpstr>
      <vt:lpstr>June_2023!Obszar_wydruku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Czas pracy 1.4.28</dc:title>
  <dc:subject>czas pracy</dc:subject>
  <dc:creator>Bednarczyk Paweł</dc:creator>
  <cp:keywords>czas pracy</cp:keywords>
  <dc:description>praca zdalna nie działa funkcja *(ToDo ConvertToTime()) -&gt;W12K16…</dc:description>
  <cp:lastModifiedBy>Bednarczyk Paweł</cp:lastModifiedBy>
  <dcterms:created xsi:type="dcterms:W3CDTF">2023-01-17T07:09:52Z</dcterms:created>
  <dcterms:modified xsi:type="dcterms:W3CDTF">2023-07-20T13:38:28Z</dcterms:modified>
  <cp:category>arkusz kalkulacyjny</cp:category>
  <cp:contentStatus>1.4.28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607390209</vt:i4>
  </property>
  <property fmtid="{D5CDD505-2E9C-101B-9397-08002B2CF9AE}" pid="3" name="_NewReviewCycle">
    <vt:lpwstr/>
  </property>
  <property fmtid="{D5CDD505-2E9C-101B-9397-08002B2CF9AE}" pid="4" name="_EmailSubject">
    <vt:lpwstr>Informacja - RE: Wartak Jacek udostępnia Ci dokument „REJESTR GODZIN - AKTYWNE ZLECENIA — TA”.  Czas pracy po tygodniu po 4 tyg. roku </vt:lpwstr>
  </property>
  <property fmtid="{D5CDD505-2E9C-101B-9397-08002B2CF9AE}" pid="5" name="_AuthorEmail">
    <vt:lpwstr>PBednarczyk@energopomiar.com.pl</vt:lpwstr>
  </property>
  <property fmtid="{D5CDD505-2E9C-101B-9397-08002B2CF9AE}" pid="6" name="_AuthorEmailDisplayName">
    <vt:lpwstr>Bednarczyk Paweł</vt:lpwstr>
  </property>
  <property fmtid="{D5CDD505-2E9C-101B-9397-08002B2CF9AE}" pid="7" name="Solution ID">
    <vt:lpwstr>{15727DE6-F92D-4E46-ACB4-0E2C58B31A18}</vt:lpwstr>
  </property>
</Properties>
</file>